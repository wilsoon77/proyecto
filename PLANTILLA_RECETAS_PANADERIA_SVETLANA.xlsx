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so\Documents\FrameworksrProjects\React\proyecto-panaderia\"/>
    </mc:Choice>
  </mc:AlternateContent>
  <xr:revisionPtr revIDLastSave="0" documentId="13_ncr:1_{1B3778E0-CAF6-4D56-904C-13FF9BBA5CDA}" xr6:coauthVersionLast="47" xr6:coauthVersionMax="47" xr10:uidLastSave="{00000000-0000-0000-0000-000000000000}"/>
  <bookViews>
    <workbookView xWindow="-120" yWindow="-120" windowWidth="20730" windowHeight="11760" firstSheet="1" activeTab="3" xr2:uid="{00000000-000D-0000-FFFF-FFFF00000000}"/>
  </bookViews>
  <sheets>
    <sheet name="Instrucciones_y_Guía" sheetId="1" r:id="rId1"/>
    <sheet name="Plantilla_Recetas" sheetId="2" r:id="rId2"/>
    <sheet name="Catálogo_Materias_Primas" sheetId="3" r:id="rId3"/>
    <sheet name="Formato_Detallado_Ingredien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2" l="1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<sst xmlns="http://schemas.openxmlformats.org/spreadsheetml/2006/main" count="339" uniqueCount="180">
  <si>
    <t>🥖 PANADERÍA SVETLANA — PLANTILLA OFICIAL DE RECETAS Y AMASIJOS</t>
  </si>
  <si>
    <t>Estimados dueños y maestros panaderos: Este documento servirá para cargar las recetas exactas de cada pan al sistema informático.</t>
  </si>
  <si>
    <t>1. ¿Por qué es necesaria esta plantilla?</t>
  </si>
  <si>
    <t>El sistema de producción calcula automáticamente cuánta materia prima (harina, manteca, azúcar, levadura, etc.) se descuenta del inventario cada vez que se hornea pan. También calcula el costo por pieza y alerta cuando la harina o insumos están por agotarse.</t>
  </si>
  <si>
    <t>2. Conceptos Clave del Sistema</t>
  </si>
  <si>
    <t>• AMASIJO / TANDA: Es la preparación base de masa que se hace en la artesa/amasadora (por ejemplo: tanda de 50 lb o 25 lb de harina).
• LATAS ESTÁNDAR: Es la cantidad de latas de pan que rinde ese amasijo completo (ejemplo: de 50 lb de harina para Francés salen 33 latas).
• UNIDADES POR LATA: Cuántos panes caben en una sola lata de horneado (ejemplo: 36 franceses por lata, o 24 donas por lata).
• TOTAL DE PANES CALCULADOS: El sistema multiplica automáticamente (Latas × Unidades por Lata = Total Panes).</t>
  </si>
  <si>
    <t>3. ¿Cómo llenar la hoja 'Plantilla_Recetas'?</t>
  </si>
  <si>
    <t>1. Ve a la pestaña 'Plantilla_Recetas'.
2. Verás los 18 productos que producimos en Panadería Svetlana.
3. Las 3 primeras filas (en color verde) son las que ya están en el sistema como ejemplo real (Francés, Pan Dulce Grande y Empanada de Piña).
4. En las filas amarillas (pendientes), solo debes escribir el rendimiento en latas y los ingredientes principales de tu amasijo habitual.
5. Si un pan comparte la misma masa que otro (por ejemplo: Pan Dulce Pequeño usa la misma masa que el Pan Dulce Grande pero con diferente corte), indícalo en Observaciones o anota sus latas correspondientes.</t>
  </si>
  <si>
    <t>4. Consulta de Materias Primas</t>
  </si>
  <si>
    <t>En la pestaña 'Catálogo_Materias_Primas' tienes el listado de todos los insumos ya registrados en el sistema con su unidad de medida (Libras para sólidos, Mililitros para líquidos, Unidades para huevos o mangas de jalea).</t>
  </si>
  <si>
    <t>ID</t>
  </si>
  <si>
    <t>Categoría</t>
  </si>
  <si>
    <t>Producto Terminado</t>
  </si>
  <si>
    <t>Estado</t>
  </si>
  <si>
    <t>Nombre del Amasijo / Tanda</t>
  </si>
  <si>
    <t>Latas por Amasijo</t>
  </si>
  <si>
    <t>Unidades por Lata</t>
  </si>
  <si>
    <t>Total Panes (Calculado)</t>
  </si>
  <si>
    <t>Harina Principal (LB)</t>
  </si>
  <si>
    <t>Tipo Harina (Dura/Suave)</t>
  </si>
  <si>
    <t>Manteca / Margarina (LB)</t>
  </si>
  <si>
    <t>Azúcar (LB)</t>
  </si>
  <si>
    <t>Levadura (LB)</t>
  </si>
  <si>
    <t>Sal (LB)</t>
  </si>
  <si>
    <t>Huevos (Uds)</t>
  </si>
  <si>
    <t>Líquidos (Agua/Leche)</t>
  </si>
  <si>
    <t>Otros Ingredientes / Relleno / Toppings</t>
  </si>
  <si>
    <t>Observaciones / Detalles del Maestro</t>
  </si>
  <si>
    <t>Pan</t>
  </si>
  <si>
    <t>Pan Francés Tradicional</t>
  </si>
  <si>
    <t>✅ REGISTRADA</t>
  </si>
  <si>
    <t>Amasijo Estándar de Francés (50 lb)</t>
  </si>
  <si>
    <t>Dura</t>
  </si>
  <si>
    <t>Agua ~30 L (al gusto)</t>
  </si>
  <si>
    <t>Ninguno</t>
  </si>
  <si>
    <t>Receta actual en sistema. Rinde 1,188 panes.</t>
  </si>
  <si>
    <t>Pan Dulce</t>
  </si>
  <si>
    <t>Pan Dulce Grande</t>
  </si>
  <si>
    <t>Amasijo Estándar de Masa Dulce (50 lb)</t>
  </si>
  <si>
    <t>Suave</t>
  </si>
  <si>
    <t>Agua según textura</t>
  </si>
  <si>
    <t>Esencia Vainilla (250 ml), Solución Yemas (100 ml)</t>
  </si>
  <si>
    <t>Receta actual en sistema. Rinde 300 panes.</t>
  </si>
  <si>
    <t>Reposteria</t>
  </si>
  <si>
    <t>Empanada de Piña</t>
  </si>
  <si>
    <t>Amasijo Estándar de Masa Danesa (25 lb)</t>
  </si>
  <si>
    <t>Manga de Jalea de Piña para relleno</t>
  </si>
  <si>
    <t>Receta actual en sistema. Rinde 192 empanadas.</t>
  </si>
  <si>
    <t>Pan Dulce Pequeño</t>
  </si>
  <si>
    <t>⏳ PENDIENTE</t>
  </si>
  <si>
    <t>Misma masa dulce o masa específica. Caben 40 por lata.</t>
  </si>
  <si>
    <t>Campechana</t>
  </si>
  <si>
    <t>Lleva azúcar espolvoreada y corte tradicional.</t>
  </si>
  <si>
    <t>Pasitas</t>
  </si>
  <si>
    <t>Masa dulce con pasas incorporadas.</t>
  </si>
  <si>
    <t>Galletas</t>
  </si>
  <si>
    <t>Champurrada Grande</t>
  </si>
  <si>
    <t>Tradicional tostada, ajonjolí encima.</t>
  </si>
  <si>
    <t>Champurrada Pequeña</t>
  </si>
  <si>
    <t>Tamaño café/desayuno.</t>
  </si>
  <si>
    <t>Pan Galleta</t>
  </si>
  <si>
    <t>Pan tostado crujiente.</t>
  </si>
  <si>
    <t>Polvorosa Tradicional</t>
  </si>
  <si>
    <t>Polvorosa suave y desmoronable.</t>
  </si>
  <si>
    <t>Cubilete de Vainilla</t>
  </si>
  <si>
    <t>Masa batida, requiere molde de cubilete y pasas.</t>
  </si>
  <si>
    <t>Cubilete de Banano</t>
  </si>
  <si>
    <t>Lleva banano maduro triturado y canela.</t>
  </si>
  <si>
    <t>Empanada de Manjar</t>
  </si>
  <si>
    <t>Masa danesa o suave, relleno con manga de manjar.</t>
  </si>
  <si>
    <t>Cortada de Fresa</t>
  </si>
  <si>
    <t>Pastel/cortada con jalea de fresa.</t>
  </si>
  <si>
    <t>Cortada de Chocolate</t>
  </si>
  <si>
    <t>Con cocoa oscura o cobertura de chocolate.</t>
  </si>
  <si>
    <t>Donas</t>
  </si>
  <si>
    <t>Dona Simple Glaseada</t>
  </si>
  <si>
    <t>Masa para freír/hornear, glaseado blanco.</t>
  </si>
  <si>
    <t>Dona Rellena de Manjar</t>
  </si>
  <si>
    <t>Relleno manjar artesanal.</t>
  </si>
  <si>
    <t>Dona Rellena de Fresa</t>
  </si>
  <si>
    <t>Relleno jalea de fresa.</t>
  </si>
  <si>
    <t>CATÁLOGO DE MATERIAS PRIMAS (INSUMOS) DISPONIBLES EN EL SISTEMA</t>
  </si>
  <si>
    <t>Nombre del Insumo / Materia Prima</t>
  </si>
  <si>
    <t>Unidad de Medida del Sistema</t>
  </si>
  <si>
    <t>Abreviatura</t>
  </si>
  <si>
    <t>Uso Típico en Panadería</t>
  </si>
  <si>
    <t>Harina</t>
  </si>
  <si>
    <t>Libras</t>
  </si>
  <si>
    <t>LB</t>
  </si>
  <si>
    <t>Harina tradicional / multipropósito</t>
  </si>
  <si>
    <t>Harina Dura</t>
  </si>
  <si>
    <t>Para pan francés, masas con alto gluten</t>
  </si>
  <si>
    <t>Harina Suave</t>
  </si>
  <si>
    <t>Para pan dulce, repostería y galletas</t>
  </si>
  <si>
    <t>Levadura</t>
  </si>
  <si>
    <t>Levadura fresca o seca (1 lb = 16 oz)</t>
  </si>
  <si>
    <t>Azúcar</t>
  </si>
  <si>
    <t>Azúcar estándar</t>
  </si>
  <si>
    <t>Azúcar Blanca</t>
  </si>
  <si>
    <t>Para masas finas, cubiletes y brillo</t>
  </si>
  <si>
    <t>Manteca</t>
  </si>
  <si>
    <t>Manteca clásica de horneado</t>
  </si>
  <si>
    <t>Manteca Vegetal</t>
  </si>
  <si>
    <t>Para pan dulce y textura crujiente</t>
  </si>
  <si>
    <t>Margarina</t>
  </si>
  <si>
    <t>Para masa danesa, hojaldres y donas</t>
  </si>
  <si>
    <t>Sal</t>
  </si>
  <si>
    <t>Sal fina de mesa</t>
  </si>
  <si>
    <t>Huevos</t>
  </si>
  <si>
    <t>Unidades individuales</t>
  </si>
  <si>
    <t>UNIT</t>
  </si>
  <si>
    <t>Huevos enteros por pieza</t>
  </si>
  <si>
    <t>Polvo de Hornear (Royal)</t>
  </si>
  <si>
    <t>Leudante químico para cubiletes</t>
  </si>
  <si>
    <t>Bicarbonato de Sodio</t>
  </si>
  <si>
    <t>Unidades / Cucharadas</t>
  </si>
  <si>
    <t>Para galletas y cubilete de banano</t>
  </si>
  <si>
    <t>Esencia de Vainilla</t>
  </si>
  <si>
    <t>Mililitros</t>
  </si>
  <si>
    <t>ML</t>
  </si>
  <si>
    <t>Aromatizante (1 taza = 250 ml)</t>
  </si>
  <si>
    <t>Esencia de Ponche de Frutas</t>
  </si>
  <si>
    <t>Aromatizante especial de panadería</t>
  </si>
  <si>
    <t>Solución de Yemas</t>
  </si>
  <si>
    <t>Para pintar y dorar la corteza</t>
  </si>
  <si>
    <t>Leche Entera</t>
  </si>
  <si>
    <t>Líquido de amasado (1 litro = 1,000 ml)</t>
  </si>
  <si>
    <t>Manga de Jalea de Piña</t>
  </si>
  <si>
    <t>Unidades (Mangas)</t>
  </si>
  <si>
    <t>Relleno pastelero para empanadas</t>
  </si>
  <si>
    <t>Manga de Jalea de Fresa</t>
  </si>
  <si>
    <t>Relleno para donas y cortadas</t>
  </si>
  <si>
    <t>Manga de Manjar</t>
  </si>
  <si>
    <t>Relleno para donas y empanadas</t>
  </si>
  <si>
    <t>Molde de Cubilete</t>
  </si>
  <si>
    <t>Unidades (Capacillos)</t>
  </si>
  <si>
    <t>Papel / capacillo para hornear</t>
  </si>
  <si>
    <t>Chocolate en Barra (Repostería)</t>
  </si>
  <si>
    <t>Para cortadas y coberturas</t>
  </si>
  <si>
    <t>Cocoa Oscura</t>
  </si>
  <si>
    <t>Para masas de chocolate</t>
  </si>
  <si>
    <t>Canela en Polvo</t>
  </si>
  <si>
    <t>Especia para cubiletes y pan dulce</t>
  </si>
  <si>
    <t>Ajonjolí</t>
  </si>
  <si>
    <t>Semilla para decorar champurradas</t>
  </si>
  <si>
    <t>Anís</t>
  </si>
  <si>
    <t>Semilla aromática tradicional</t>
  </si>
  <si>
    <t>Banano</t>
  </si>
  <si>
    <t>Unidades (Plátano/Banano)</t>
  </si>
  <si>
    <t>Fruta natural para cubilete de banano</t>
  </si>
  <si>
    <t>Pasas</t>
  </si>
  <si>
    <t>Para pasitas y cubiletes</t>
  </si>
  <si>
    <t>DETALLE DE INGREDIENTES LÍNEA POR LÍNEA (OPCIONAL / ALTERNATIVO)</t>
  </si>
  <si>
    <t>Nombre de la Receta</t>
  </si>
  <si>
    <t>Latas por Tanda</t>
  </si>
  <si>
    <t>Ingrediente / Insumo</t>
  </si>
  <si>
    <t>Cantidad</t>
  </si>
  <si>
    <t>Unidad (LB / ML / UNIT)</t>
  </si>
  <si>
    <t>Notas de Preparación</t>
  </si>
  <si>
    <t>Harina de fuerza base</t>
  </si>
  <si>
    <t>Disolver en agua tibia</t>
  </si>
  <si>
    <t>Integrar al final del amasado</t>
  </si>
  <si>
    <t>Alimenta la levadura</t>
  </si>
  <si>
    <t>Control de fermentación</t>
  </si>
  <si>
    <t>Harina repostera</t>
  </si>
  <si>
    <t>Masa dulce tradicional</t>
  </si>
  <si>
    <t>Punto pomada</t>
  </si>
  <si>
    <t>Enteros frescos</t>
  </si>
  <si>
    <t>Fermentación media</t>
  </si>
  <si>
    <t>Realce de sabor</t>
  </si>
  <si>
    <t>Sabor clásico</t>
  </si>
  <si>
    <t>Para pintar antes de hornear</t>
  </si>
  <si>
    <t>Base masa laminada</t>
  </si>
  <si>
    <t>Empaste para hojaldrar</t>
  </si>
  <si>
    <t>Dulzura suave</t>
  </si>
  <si>
    <t>Elasticidad</t>
  </si>
  <si>
    <t>Poco leudado</t>
  </si>
  <si>
    <t>Equilibrio</t>
  </si>
  <si>
    <t>Relleno al cerrar</t>
  </si>
  <si>
    <t>RECETARIO Y RENDIMIENTO DE PRODUCCIÓN — PANADERÍA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</si>
</sst>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2B170F"/>
      <name val="Segoe UI"/>
    </font>
    <font>
      <i/>
      <sz val="11"/>
      <color rgb="FF555555"/>
      <name val="Segoe UI"/>
    </font>
    <font>
      <b/>
      <sz val="12"/>
      <color rgb="FF5C3D2E"/>
      <name val="Segoe UI"/>
    </font>
    <font>
      <sz val="10"/>
      <color rgb="FF222222"/>
      <name val="Segoe UI"/>
    </font>
    <font>
      <b/>
      <sz val="14"/>
      <color rgb="FFFFFFFF"/>
      <name val="Segoe UI"/>
    </font>
    <font>
      <b/>
      <sz val="10"/>
      <color rgb="FFFFFFFF"/>
      <name val="Segoe UI"/>
    </font>
    <font>
      <i/>
      <sz val="9"/>
      <color rgb="FF777777"/>
      <name val="Segoe UI"/>
    </font>
    <font>
      <b/>
      <sz val="10"/>
      <color rgb="FF222222"/>
      <name val="Segoe UI"/>
    </font>
    <font>
      <b/>
      <sz val="9"/>
      <color rgb="FF137333"/>
      <name val="Segoe UI"/>
    </font>
    <font>
      <b/>
      <sz val="10"/>
      <color rgb="FF5C3D2E"/>
      <name val="Segoe UI"/>
    </font>
    <font>
      <b/>
      <sz val="9"/>
      <color rgb="FFB06000"/>
      <name val="Segoe UI"/>
    </font>
    <font>
      <b/>
      <sz val="13"/>
      <color rgb="FFFFFFF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2B170F"/>
        <bgColor rgb="FF2B170F"/>
      </patternFill>
    </fill>
    <fill>
      <patternFill patternType="solid">
        <fgColor rgb="FF5C3D2E"/>
        <bgColor rgb="FF5C3D2E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AF5EE"/>
        <bgColor rgb="FFFAF5EE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DECDBB"/>
      </left>
      <right style="thin">
        <color rgb="FFDECDBB"/>
      </right>
      <top style="thin">
        <color rgb="FFDECDBB"/>
      </top>
      <bottom style="medium">
        <color rgb="FF2B170F"/>
      </bottom>
      <diagonal/>
    </border>
    <border>
      <left style="thin">
        <color rgb="FFDECDBB"/>
      </left>
      <right style="thin">
        <color rgb="FFDECDBB"/>
      </right>
      <top style="thin">
        <color rgb="FFDECDBB"/>
      </top>
      <bottom style="thin">
        <color rgb="FFDECDB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3" fontId="8" fillId="6" borderId="2" xfId="0" applyNumberFormat="1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3" fontId="8" fillId="7" borderId="2" xfId="0" applyNumberFormat="1" applyFont="1" applyFill="1" applyBorder="1" applyAlignment="1">
      <alignment horizontal="center" vertical="center" wrapText="1"/>
    </xf>
    <xf numFmtId="3" fontId="10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/>
    <xf numFmtId="0" fontId="4" fillId="6" borderId="2" xfId="0" applyFont="1" applyFill="1" applyBorder="1"/>
    <xf numFmtId="0" fontId="2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1"/>
  <sheetViews>
    <sheetView workbookViewId="0"/>
  </sheetViews>
  <sheetFormatPr baseColWidth="10" defaultColWidth="9.140625" defaultRowHeight="15" x14ac:dyDescent="0.25"/>
  <cols>
    <col min="1" max="1" width="3" customWidth="1"/>
    <col min="2" max="2" width="25" customWidth="1"/>
    <col min="3" max="10" width="15" customWidth="1"/>
  </cols>
  <sheetData>
    <row r="2" spans="2:10" ht="25.5" x14ac:dyDescent="0.25">
      <c r="B2" s="42" t="s">
        <v>0</v>
      </c>
      <c r="C2" s="40"/>
      <c r="D2" s="40"/>
      <c r="E2" s="40"/>
      <c r="F2" s="40"/>
      <c r="G2" s="40"/>
      <c r="H2" s="40"/>
      <c r="I2" s="40"/>
      <c r="J2" s="40"/>
    </row>
    <row r="3" spans="2:10" ht="16.5" x14ac:dyDescent="0.3">
      <c r="B3" s="39" t="s">
        <v>1</v>
      </c>
      <c r="C3" s="40"/>
      <c r="D3" s="40"/>
      <c r="E3" s="40"/>
      <c r="F3" s="40"/>
      <c r="G3" s="40"/>
      <c r="H3" s="40"/>
      <c r="I3" s="40"/>
      <c r="J3" s="40"/>
    </row>
    <row r="5" spans="2:10" ht="17.25" x14ac:dyDescent="0.3">
      <c r="B5" s="1" t="s">
        <v>2</v>
      </c>
    </row>
    <row r="6" spans="2:10" x14ac:dyDescent="0.25">
      <c r="B6" s="41" t="s">
        <v>3</v>
      </c>
      <c r="C6" s="40"/>
      <c r="D6" s="40"/>
      <c r="E6" s="40"/>
      <c r="F6" s="40"/>
      <c r="G6" s="40"/>
      <c r="H6" s="40"/>
      <c r="I6" s="40"/>
      <c r="J6" s="40"/>
    </row>
    <row r="7" spans="2:10" x14ac:dyDescent="0.25">
      <c r="B7" s="40"/>
      <c r="C7" s="40"/>
      <c r="D7" s="40"/>
      <c r="E7" s="40"/>
      <c r="F7" s="40"/>
      <c r="G7" s="40"/>
      <c r="H7" s="40"/>
      <c r="I7" s="40"/>
      <c r="J7" s="40"/>
    </row>
    <row r="9" spans="2:10" ht="17.25" x14ac:dyDescent="0.3">
      <c r="B9" s="1" t="s">
        <v>4</v>
      </c>
    </row>
    <row r="10" spans="2:10" x14ac:dyDescent="0.25">
      <c r="B10" s="41" t="s">
        <v>5</v>
      </c>
      <c r="C10" s="40"/>
      <c r="D10" s="40"/>
      <c r="E10" s="40"/>
      <c r="F10" s="40"/>
      <c r="G10" s="40"/>
      <c r="H10" s="40"/>
      <c r="I10" s="40"/>
      <c r="J10" s="40"/>
    </row>
    <row r="11" spans="2:10" x14ac:dyDescent="0.25">
      <c r="B11" s="40"/>
      <c r="C11" s="40"/>
      <c r="D11" s="40"/>
      <c r="E11" s="40"/>
      <c r="F11" s="40"/>
      <c r="G11" s="40"/>
      <c r="H11" s="40"/>
      <c r="I11" s="40"/>
      <c r="J11" s="40"/>
    </row>
    <row r="12" spans="2:10" x14ac:dyDescent="0.25">
      <c r="B12" s="40"/>
      <c r="C12" s="40"/>
      <c r="D12" s="40"/>
      <c r="E12" s="40"/>
      <c r="F12" s="40"/>
      <c r="G12" s="40"/>
      <c r="H12" s="40"/>
      <c r="I12" s="40"/>
      <c r="J12" s="40"/>
    </row>
    <row r="14" spans="2:10" ht="17.25" x14ac:dyDescent="0.3">
      <c r="B14" s="1" t="s">
        <v>6</v>
      </c>
    </row>
    <row r="15" spans="2:10" x14ac:dyDescent="0.25">
      <c r="B15" s="41" t="s">
        <v>7</v>
      </c>
      <c r="C15" s="40"/>
      <c r="D15" s="40"/>
      <c r="E15" s="40"/>
      <c r="F15" s="40"/>
      <c r="G15" s="40"/>
      <c r="H15" s="40"/>
      <c r="I15" s="40"/>
      <c r="J15" s="40"/>
    </row>
    <row r="16" spans="2:10" x14ac:dyDescent="0.25">
      <c r="B16" s="40"/>
      <c r="C16" s="40"/>
      <c r="D16" s="40"/>
      <c r="E16" s="40"/>
      <c r="F16" s="40"/>
      <c r="G16" s="40"/>
      <c r="H16" s="40"/>
      <c r="I16" s="40"/>
      <c r="J16" s="40"/>
    </row>
    <row r="17" spans="2:10" x14ac:dyDescent="0.25">
      <c r="B17" s="40"/>
      <c r="C17" s="40"/>
      <c r="D17" s="40"/>
      <c r="E17" s="40"/>
      <c r="F17" s="40"/>
      <c r="G17" s="40"/>
      <c r="H17" s="40"/>
      <c r="I17" s="40"/>
      <c r="J17" s="40"/>
    </row>
    <row r="19" spans="2:10" ht="17.25" x14ac:dyDescent="0.3">
      <c r="B19" s="1" t="s">
        <v>8</v>
      </c>
    </row>
    <row r="20" spans="2:10" x14ac:dyDescent="0.25">
      <c r="B20" s="41" t="s">
        <v>9</v>
      </c>
      <c r="C20" s="40"/>
      <c r="D20" s="40"/>
      <c r="E20" s="40"/>
      <c r="F20" s="40"/>
      <c r="G20" s="40"/>
      <c r="H20" s="40"/>
      <c r="I20" s="40"/>
      <c r="J20" s="40"/>
    </row>
    <row r="21" spans="2:10" x14ac:dyDescent="0.25">
      <c r="B21" s="40"/>
      <c r="C21" s="40"/>
      <c r="D21" s="40"/>
      <c r="E21" s="40"/>
      <c r="F21" s="40"/>
      <c r="G21" s="40"/>
      <c r="H21" s="40"/>
      <c r="I21" s="40"/>
      <c r="J21" s="40"/>
    </row>
  </sheetData>
  <mergeCells count="6">
    <mergeCell ref="B2:J2"/>
    <mergeCell ref="B3:J3"/>
    <mergeCell ref="B15:J17"/>
    <mergeCell ref="B20:J21"/>
    <mergeCell ref="B6:J7"/>
    <mergeCell ref="B10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workbookViewId="0">
      <pane xSplit="3" ySplit="2" topLeftCell="D3" activePane="bottomRight" state="frozen"/>
      <selection pane="topRight"/>
      <selection pane="bottomLeft"/>
      <selection pane="bottomRight" activeCell="I3" sqref="I3"/>
    </sheetView>
  </sheetViews>
  <sheetFormatPr baseColWidth="10" defaultColWidth="9.140625" defaultRowHeight="15" x14ac:dyDescent="0.25"/>
  <cols>
    <col min="1" max="1" width="6" customWidth="1"/>
    <col min="2" max="2" width="13" customWidth="1"/>
    <col min="3" max="3" width="24" customWidth="1"/>
    <col min="4" max="4" width="14" customWidth="1"/>
    <col min="5" max="5" width="28" customWidth="1"/>
    <col min="6" max="7" width="12" customWidth="1"/>
    <col min="8" max="8" width="15" customWidth="1"/>
    <col min="9" max="11" width="14" customWidth="1"/>
    <col min="12" max="13" width="12" customWidth="1"/>
    <col min="14" max="14" width="10" customWidth="1"/>
    <col min="15" max="15" width="12" customWidth="1"/>
    <col min="16" max="16" width="15" customWidth="1"/>
    <col min="17" max="17" width="35" customWidth="1"/>
    <col min="18" max="18" width="30" customWidth="1"/>
  </cols>
  <sheetData>
    <row r="1" spans="1:18" ht="35.1" customHeight="1" x14ac:dyDescent="0.25">
      <c r="A1" s="43" t="s">
        <v>179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27.9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ht="24" customHeight="1" x14ac:dyDescent="0.25">
      <c r="A3" s="3">
        <v>54</v>
      </c>
      <c r="B3" s="4" t="s">
        <v>28</v>
      </c>
      <c r="C3" s="5" t="s">
        <v>29</v>
      </c>
      <c r="D3" s="6" t="s">
        <v>30</v>
      </c>
      <c r="E3" s="7" t="s">
        <v>31</v>
      </c>
      <c r="F3" s="8">
        <v>33</v>
      </c>
      <c r="G3" s="8">
        <v>36</v>
      </c>
      <c r="H3" s="9">
        <f t="shared" ref="H3:H20" si="0">IF(F3&gt;0, F3*G3, "-")</f>
        <v>1188</v>
      </c>
      <c r="I3" s="10">
        <v>50</v>
      </c>
      <c r="J3" s="10" t="s">
        <v>32</v>
      </c>
      <c r="K3" s="10">
        <v>3</v>
      </c>
      <c r="L3" s="10">
        <v>1</v>
      </c>
      <c r="M3" s="10">
        <v>2</v>
      </c>
      <c r="N3" s="10">
        <v>1</v>
      </c>
      <c r="O3" s="10">
        <v>0</v>
      </c>
      <c r="P3" s="7" t="s">
        <v>33</v>
      </c>
      <c r="Q3" s="11" t="s">
        <v>34</v>
      </c>
      <c r="R3" s="12" t="s">
        <v>35</v>
      </c>
    </row>
    <row r="4" spans="1:18" ht="24" customHeight="1" x14ac:dyDescent="0.25">
      <c r="A4" s="3">
        <v>56</v>
      </c>
      <c r="B4" s="4" t="s">
        <v>36</v>
      </c>
      <c r="C4" s="5" t="s">
        <v>37</v>
      </c>
      <c r="D4" s="6" t="s">
        <v>30</v>
      </c>
      <c r="E4" s="7" t="s">
        <v>38</v>
      </c>
      <c r="F4" s="8">
        <v>15</v>
      </c>
      <c r="G4" s="8">
        <v>20</v>
      </c>
      <c r="H4" s="9">
        <f t="shared" si="0"/>
        <v>300</v>
      </c>
      <c r="I4" s="10">
        <v>50</v>
      </c>
      <c r="J4" s="10" t="s">
        <v>39</v>
      </c>
      <c r="K4" s="10">
        <v>8</v>
      </c>
      <c r="L4" s="10">
        <v>15</v>
      </c>
      <c r="M4" s="10">
        <v>1.5</v>
      </c>
      <c r="N4" s="10">
        <v>0.5</v>
      </c>
      <c r="O4" s="10">
        <v>25</v>
      </c>
      <c r="P4" s="7" t="s">
        <v>40</v>
      </c>
      <c r="Q4" s="11" t="s">
        <v>41</v>
      </c>
      <c r="R4" s="12" t="s">
        <v>42</v>
      </c>
    </row>
    <row r="5" spans="1:18" ht="24" customHeight="1" x14ac:dyDescent="0.25">
      <c r="A5" s="3">
        <v>62</v>
      </c>
      <c r="B5" s="4" t="s">
        <v>43</v>
      </c>
      <c r="C5" s="5" t="s">
        <v>44</v>
      </c>
      <c r="D5" s="6" t="s">
        <v>30</v>
      </c>
      <c r="E5" s="7" t="s">
        <v>45</v>
      </c>
      <c r="F5" s="8">
        <v>12</v>
      </c>
      <c r="G5" s="8">
        <v>16</v>
      </c>
      <c r="H5" s="9">
        <f t="shared" si="0"/>
        <v>192</v>
      </c>
      <c r="I5" s="10">
        <v>25</v>
      </c>
      <c r="J5" s="10" t="s">
        <v>39</v>
      </c>
      <c r="K5" s="10">
        <v>8</v>
      </c>
      <c r="L5" s="10">
        <v>5</v>
      </c>
      <c r="M5" s="10">
        <v>0.5</v>
      </c>
      <c r="N5" s="10">
        <v>0.25</v>
      </c>
      <c r="O5" s="10">
        <v>15</v>
      </c>
      <c r="P5" s="7" t="s">
        <v>40</v>
      </c>
      <c r="Q5" s="11" t="s">
        <v>46</v>
      </c>
      <c r="R5" s="12" t="s">
        <v>47</v>
      </c>
    </row>
    <row r="6" spans="1:18" ht="24" customHeight="1" x14ac:dyDescent="0.25">
      <c r="A6" s="13">
        <v>55</v>
      </c>
      <c r="B6" s="14" t="s">
        <v>36</v>
      </c>
      <c r="C6" s="15" t="s">
        <v>48</v>
      </c>
      <c r="D6" s="16" t="s">
        <v>49</v>
      </c>
      <c r="E6" s="17"/>
      <c r="F6" s="14"/>
      <c r="G6" s="18">
        <v>40</v>
      </c>
      <c r="H6" s="19" t="str">
        <f t="shared" si="0"/>
        <v>-</v>
      </c>
      <c r="I6" s="20"/>
      <c r="J6" s="20"/>
      <c r="K6" s="20"/>
      <c r="L6" s="20"/>
      <c r="M6" s="20"/>
      <c r="N6" s="20"/>
      <c r="O6" s="20"/>
      <c r="P6" s="17"/>
      <c r="Q6" s="21"/>
      <c r="R6" s="22" t="s">
        <v>50</v>
      </c>
    </row>
    <row r="7" spans="1:18" ht="24" customHeight="1" x14ac:dyDescent="0.25">
      <c r="A7" s="23">
        <v>68</v>
      </c>
      <c r="B7" s="24" t="s">
        <v>36</v>
      </c>
      <c r="C7" s="25" t="s">
        <v>51</v>
      </c>
      <c r="D7" s="16" t="s">
        <v>49</v>
      </c>
      <c r="E7" s="26"/>
      <c r="F7" s="24"/>
      <c r="G7" s="27">
        <v>20</v>
      </c>
      <c r="H7" s="28" t="str">
        <f t="shared" si="0"/>
        <v>-</v>
      </c>
      <c r="I7" s="29"/>
      <c r="J7" s="29"/>
      <c r="K7" s="29"/>
      <c r="L7" s="29"/>
      <c r="M7" s="29"/>
      <c r="N7" s="29"/>
      <c r="O7" s="29"/>
      <c r="P7" s="26"/>
      <c r="Q7" s="30"/>
      <c r="R7" s="31" t="s">
        <v>52</v>
      </c>
    </row>
    <row r="8" spans="1:18" ht="24" customHeight="1" x14ac:dyDescent="0.25">
      <c r="A8" s="13">
        <v>69</v>
      </c>
      <c r="B8" s="14" t="s">
        <v>36</v>
      </c>
      <c r="C8" s="15" t="s">
        <v>53</v>
      </c>
      <c r="D8" s="16" t="s">
        <v>49</v>
      </c>
      <c r="E8" s="17"/>
      <c r="F8" s="14"/>
      <c r="G8" s="18">
        <v>30</v>
      </c>
      <c r="H8" s="19" t="str">
        <f t="shared" si="0"/>
        <v>-</v>
      </c>
      <c r="I8" s="20"/>
      <c r="J8" s="20"/>
      <c r="K8" s="20"/>
      <c r="L8" s="20"/>
      <c r="M8" s="20"/>
      <c r="N8" s="20"/>
      <c r="O8" s="20"/>
      <c r="P8" s="17"/>
      <c r="Q8" s="21"/>
      <c r="R8" s="22" t="s">
        <v>54</v>
      </c>
    </row>
    <row r="9" spans="1:18" ht="24" customHeight="1" x14ac:dyDescent="0.25">
      <c r="A9" s="23">
        <v>59</v>
      </c>
      <c r="B9" s="24" t="s">
        <v>55</v>
      </c>
      <c r="C9" s="25" t="s">
        <v>56</v>
      </c>
      <c r="D9" s="16" t="s">
        <v>49</v>
      </c>
      <c r="E9" s="26"/>
      <c r="F9" s="24"/>
      <c r="G9" s="27">
        <v>15</v>
      </c>
      <c r="H9" s="28" t="str">
        <f t="shared" si="0"/>
        <v>-</v>
      </c>
      <c r="I9" s="29"/>
      <c r="J9" s="29"/>
      <c r="K9" s="29"/>
      <c r="L9" s="29"/>
      <c r="M9" s="29"/>
      <c r="N9" s="29"/>
      <c r="O9" s="29"/>
      <c r="P9" s="26"/>
      <c r="Q9" s="30"/>
      <c r="R9" s="31" t="s">
        <v>57</v>
      </c>
    </row>
    <row r="10" spans="1:18" ht="24" customHeight="1" x14ac:dyDescent="0.25">
      <c r="A10" s="13">
        <v>58</v>
      </c>
      <c r="B10" s="14" t="s">
        <v>55</v>
      </c>
      <c r="C10" s="15" t="s">
        <v>58</v>
      </c>
      <c r="D10" s="16" t="s">
        <v>49</v>
      </c>
      <c r="E10" s="17"/>
      <c r="F10" s="14"/>
      <c r="G10" s="18">
        <v>24</v>
      </c>
      <c r="H10" s="19" t="str">
        <f t="shared" si="0"/>
        <v>-</v>
      </c>
      <c r="I10" s="20"/>
      <c r="J10" s="20"/>
      <c r="K10" s="20"/>
      <c r="L10" s="20"/>
      <c r="M10" s="20"/>
      <c r="N10" s="20"/>
      <c r="O10" s="20"/>
      <c r="P10" s="17"/>
      <c r="Q10" s="21"/>
      <c r="R10" s="22" t="s">
        <v>59</v>
      </c>
    </row>
    <row r="11" spans="1:18" ht="24" customHeight="1" x14ac:dyDescent="0.25">
      <c r="A11" s="23">
        <v>57</v>
      </c>
      <c r="B11" s="24" t="s">
        <v>55</v>
      </c>
      <c r="C11" s="25" t="s">
        <v>60</v>
      </c>
      <c r="D11" s="16" t="s">
        <v>49</v>
      </c>
      <c r="E11" s="26"/>
      <c r="F11" s="24"/>
      <c r="G11" s="27">
        <v>20</v>
      </c>
      <c r="H11" s="28" t="str">
        <f t="shared" si="0"/>
        <v>-</v>
      </c>
      <c r="I11" s="29"/>
      <c r="J11" s="29"/>
      <c r="K11" s="29"/>
      <c r="L11" s="29"/>
      <c r="M11" s="29"/>
      <c r="N11" s="29"/>
      <c r="O11" s="29"/>
      <c r="P11" s="26"/>
      <c r="Q11" s="30"/>
      <c r="R11" s="31" t="s">
        <v>61</v>
      </c>
    </row>
    <row r="12" spans="1:18" ht="24" customHeight="1" x14ac:dyDescent="0.25">
      <c r="A12" s="13">
        <v>64</v>
      </c>
      <c r="B12" s="14" t="s">
        <v>55</v>
      </c>
      <c r="C12" s="15" t="s">
        <v>62</v>
      </c>
      <c r="D12" s="16" t="s">
        <v>49</v>
      </c>
      <c r="E12" s="17"/>
      <c r="F12" s="14"/>
      <c r="G12" s="18">
        <v>15</v>
      </c>
      <c r="H12" s="19" t="str">
        <f t="shared" si="0"/>
        <v>-</v>
      </c>
      <c r="I12" s="20"/>
      <c r="J12" s="20"/>
      <c r="K12" s="20"/>
      <c r="L12" s="20"/>
      <c r="M12" s="20"/>
      <c r="N12" s="20"/>
      <c r="O12" s="20"/>
      <c r="P12" s="17"/>
      <c r="Q12" s="21"/>
      <c r="R12" s="22" t="s">
        <v>63</v>
      </c>
    </row>
    <row r="13" spans="1:18" ht="24" customHeight="1" x14ac:dyDescent="0.25">
      <c r="A13" s="23">
        <v>60</v>
      </c>
      <c r="B13" s="24" t="s">
        <v>43</v>
      </c>
      <c r="C13" s="25" t="s">
        <v>64</v>
      </c>
      <c r="D13" s="16" t="s">
        <v>49</v>
      </c>
      <c r="E13" s="26"/>
      <c r="F13" s="24"/>
      <c r="G13" s="27">
        <v>30</v>
      </c>
      <c r="H13" s="28" t="str">
        <f t="shared" si="0"/>
        <v>-</v>
      </c>
      <c r="I13" s="29"/>
      <c r="J13" s="29"/>
      <c r="K13" s="29"/>
      <c r="L13" s="29"/>
      <c r="M13" s="29"/>
      <c r="N13" s="29"/>
      <c r="O13" s="29"/>
      <c r="P13" s="26"/>
      <c r="Q13" s="30"/>
      <c r="R13" s="31" t="s">
        <v>65</v>
      </c>
    </row>
    <row r="14" spans="1:18" ht="24" customHeight="1" x14ac:dyDescent="0.25">
      <c r="A14" s="13">
        <v>61</v>
      </c>
      <c r="B14" s="14" t="s">
        <v>43</v>
      </c>
      <c r="C14" s="15" t="s">
        <v>66</v>
      </c>
      <c r="D14" s="16" t="s">
        <v>49</v>
      </c>
      <c r="E14" s="17"/>
      <c r="F14" s="14"/>
      <c r="G14" s="18">
        <v>30</v>
      </c>
      <c r="H14" s="19" t="str">
        <f t="shared" si="0"/>
        <v>-</v>
      </c>
      <c r="I14" s="20"/>
      <c r="J14" s="20"/>
      <c r="K14" s="20"/>
      <c r="L14" s="20"/>
      <c r="M14" s="20"/>
      <c r="N14" s="20"/>
      <c r="O14" s="20"/>
      <c r="P14" s="17"/>
      <c r="Q14" s="21"/>
      <c r="R14" s="22" t="s">
        <v>67</v>
      </c>
    </row>
    <row r="15" spans="1:18" ht="24" customHeight="1" x14ac:dyDescent="0.25">
      <c r="A15" s="23">
        <v>63</v>
      </c>
      <c r="B15" s="24" t="s">
        <v>43</v>
      </c>
      <c r="C15" s="25" t="s">
        <v>68</v>
      </c>
      <c r="D15" s="16" t="s">
        <v>49</v>
      </c>
      <c r="E15" s="26"/>
      <c r="F15" s="24"/>
      <c r="G15" s="27">
        <v>16</v>
      </c>
      <c r="H15" s="28" t="str">
        <f t="shared" si="0"/>
        <v>-</v>
      </c>
      <c r="I15" s="29"/>
      <c r="J15" s="29"/>
      <c r="K15" s="29"/>
      <c r="L15" s="29"/>
      <c r="M15" s="29"/>
      <c r="N15" s="29"/>
      <c r="O15" s="29"/>
      <c r="P15" s="26"/>
      <c r="Q15" s="30"/>
      <c r="R15" s="31" t="s">
        <v>69</v>
      </c>
    </row>
    <row r="16" spans="1:18" ht="24" customHeight="1" x14ac:dyDescent="0.25">
      <c r="A16" s="13">
        <v>70</v>
      </c>
      <c r="B16" s="14" t="s">
        <v>43</v>
      </c>
      <c r="C16" s="15" t="s">
        <v>70</v>
      </c>
      <c r="D16" s="16" t="s">
        <v>49</v>
      </c>
      <c r="E16" s="17"/>
      <c r="F16" s="14"/>
      <c r="G16" s="18">
        <v>14</v>
      </c>
      <c r="H16" s="19" t="str">
        <f t="shared" si="0"/>
        <v>-</v>
      </c>
      <c r="I16" s="20"/>
      <c r="J16" s="20"/>
      <c r="K16" s="20"/>
      <c r="L16" s="20"/>
      <c r="M16" s="20"/>
      <c r="N16" s="20"/>
      <c r="O16" s="20"/>
      <c r="P16" s="17"/>
      <c r="Q16" s="21"/>
      <c r="R16" s="22" t="s">
        <v>71</v>
      </c>
    </row>
    <row r="17" spans="1:18" ht="24" customHeight="1" x14ac:dyDescent="0.25">
      <c r="A17" s="23">
        <v>71</v>
      </c>
      <c r="B17" s="24" t="s">
        <v>43</v>
      </c>
      <c r="C17" s="25" t="s">
        <v>72</v>
      </c>
      <c r="D17" s="16" t="s">
        <v>49</v>
      </c>
      <c r="E17" s="26"/>
      <c r="F17" s="24"/>
      <c r="G17" s="27">
        <v>14</v>
      </c>
      <c r="H17" s="28" t="str">
        <f t="shared" si="0"/>
        <v>-</v>
      </c>
      <c r="I17" s="29"/>
      <c r="J17" s="29"/>
      <c r="K17" s="29"/>
      <c r="L17" s="29"/>
      <c r="M17" s="29"/>
      <c r="N17" s="29"/>
      <c r="O17" s="29"/>
      <c r="P17" s="26"/>
      <c r="Q17" s="30"/>
      <c r="R17" s="31" t="s">
        <v>73</v>
      </c>
    </row>
    <row r="18" spans="1:18" ht="24" customHeight="1" x14ac:dyDescent="0.25">
      <c r="A18" s="13">
        <v>65</v>
      </c>
      <c r="B18" s="14" t="s">
        <v>74</v>
      </c>
      <c r="C18" s="15" t="s">
        <v>75</v>
      </c>
      <c r="D18" s="16" t="s">
        <v>49</v>
      </c>
      <c r="E18" s="17"/>
      <c r="F18" s="14"/>
      <c r="G18" s="18">
        <v>24</v>
      </c>
      <c r="H18" s="19" t="str">
        <f t="shared" si="0"/>
        <v>-</v>
      </c>
      <c r="I18" s="20"/>
      <c r="J18" s="20"/>
      <c r="K18" s="20"/>
      <c r="L18" s="20"/>
      <c r="M18" s="20"/>
      <c r="N18" s="20"/>
      <c r="O18" s="20"/>
      <c r="P18" s="17"/>
      <c r="Q18" s="21"/>
      <c r="R18" s="22" t="s">
        <v>76</v>
      </c>
    </row>
    <row r="19" spans="1:18" ht="24" customHeight="1" x14ac:dyDescent="0.25">
      <c r="A19" s="23">
        <v>66</v>
      </c>
      <c r="B19" s="24" t="s">
        <v>74</v>
      </c>
      <c r="C19" s="25" t="s">
        <v>77</v>
      </c>
      <c r="D19" s="16" t="s">
        <v>49</v>
      </c>
      <c r="E19" s="26"/>
      <c r="F19" s="24"/>
      <c r="G19" s="27">
        <v>24</v>
      </c>
      <c r="H19" s="28" t="str">
        <f t="shared" si="0"/>
        <v>-</v>
      </c>
      <c r="I19" s="29"/>
      <c r="J19" s="29"/>
      <c r="K19" s="29"/>
      <c r="L19" s="29"/>
      <c r="M19" s="29"/>
      <c r="N19" s="29"/>
      <c r="O19" s="29"/>
      <c r="P19" s="26"/>
      <c r="Q19" s="30"/>
      <c r="R19" s="31" t="s">
        <v>78</v>
      </c>
    </row>
    <row r="20" spans="1:18" ht="24" customHeight="1" x14ac:dyDescent="0.25">
      <c r="A20" s="13">
        <v>67</v>
      </c>
      <c r="B20" s="14" t="s">
        <v>74</v>
      </c>
      <c r="C20" s="15" t="s">
        <v>79</v>
      </c>
      <c r="D20" s="16" t="s">
        <v>49</v>
      </c>
      <c r="E20" s="17"/>
      <c r="F20" s="14"/>
      <c r="G20" s="18">
        <v>24</v>
      </c>
      <c r="H20" s="19" t="str">
        <f t="shared" si="0"/>
        <v>-</v>
      </c>
      <c r="I20" s="20"/>
      <c r="J20" s="20"/>
      <c r="K20" s="20"/>
      <c r="L20" s="20"/>
      <c r="M20" s="20"/>
      <c r="N20" s="20"/>
      <c r="O20" s="20"/>
      <c r="P20" s="17"/>
      <c r="Q20" s="21"/>
      <c r="R20" s="22" t="s">
        <v>80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topLeftCell="A16" workbookViewId="0">
      <selection sqref="A1:E1"/>
    </sheetView>
  </sheetViews>
  <sheetFormatPr baseColWidth="10" defaultColWidth="9.140625" defaultRowHeight="15" x14ac:dyDescent="0.25"/>
  <cols>
    <col min="1" max="1" width="8" customWidth="1"/>
    <col min="2" max="2" width="35" customWidth="1"/>
    <col min="3" max="3" width="28" customWidth="1"/>
    <col min="4" max="4" width="14" customWidth="1"/>
    <col min="5" max="5" width="35" customWidth="1"/>
  </cols>
  <sheetData>
    <row r="1" spans="1:5" ht="32.1" customHeight="1" x14ac:dyDescent="0.25">
      <c r="A1" s="44" t="s">
        <v>81</v>
      </c>
      <c r="B1" s="40"/>
      <c r="C1" s="40"/>
      <c r="D1" s="40"/>
      <c r="E1" s="40"/>
    </row>
    <row r="2" spans="1:5" ht="26.1" customHeight="1" x14ac:dyDescent="0.25">
      <c r="A2" s="2" t="s">
        <v>10</v>
      </c>
      <c r="B2" s="2" t="s">
        <v>82</v>
      </c>
      <c r="C2" s="2" t="s">
        <v>83</v>
      </c>
      <c r="D2" s="2" t="s">
        <v>84</v>
      </c>
      <c r="E2" s="2" t="s">
        <v>85</v>
      </c>
    </row>
    <row r="3" spans="1:5" ht="20.100000000000001" customHeight="1" x14ac:dyDescent="0.25">
      <c r="A3" s="32">
        <v>1</v>
      </c>
      <c r="B3" s="33" t="s">
        <v>86</v>
      </c>
      <c r="C3" s="34" t="s">
        <v>87</v>
      </c>
      <c r="D3" s="35" t="s">
        <v>88</v>
      </c>
      <c r="E3" s="36" t="s">
        <v>89</v>
      </c>
    </row>
    <row r="4" spans="1:5" ht="20.100000000000001" customHeight="1" x14ac:dyDescent="0.25">
      <c r="A4" s="23">
        <v>47</v>
      </c>
      <c r="B4" s="25" t="s">
        <v>90</v>
      </c>
      <c r="C4" s="29" t="s">
        <v>87</v>
      </c>
      <c r="D4" s="35" t="s">
        <v>88</v>
      </c>
      <c r="E4" s="26" t="s">
        <v>91</v>
      </c>
    </row>
    <row r="5" spans="1:5" ht="20.100000000000001" customHeight="1" x14ac:dyDescent="0.25">
      <c r="A5" s="32">
        <v>48</v>
      </c>
      <c r="B5" s="33" t="s">
        <v>92</v>
      </c>
      <c r="C5" s="34" t="s">
        <v>87</v>
      </c>
      <c r="D5" s="35" t="s">
        <v>88</v>
      </c>
      <c r="E5" s="36" t="s">
        <v>93</v>
      </c>
    </row>
    <row r="6" spans="1:5" ht="20.100000000000001" customHeight="1" x14ac:dyDescent="0.25">
      <c r="A6" s="23">
        <v>2</v>
      </c>
      <c r="B6" s="25" t="s">
        <v>94</v>
      </c>
      <c r="C6" s="29" t="s">
        <v>87</v>
      </c>
      <c r="D6" s="35" t="s">
        <v>88</v>
      </c>
      <c r="E6" s="26" t="s">
        <v>95</v>
      </c>
    </row>
    <row r="7" spans="1:5" ht="20.100000000000001" customHeight="1" x14ac:dyDescent="0.25">
      <c r="A7" s="32">
        <v>5</v>
      </c>
      <c r="B7" s="33" t="s">
        <v>96</v>
      </c>
      <c r="C7" s="34" t="s">
        <v>87</v>
      </c>
      <c r="D7" s="35" t="s">
        <v>88</v>
      </c>
      <c r="E7" s="36" t="s">
        <v>97</v>
      </c>
    </row>
    <row r="8" spans="1:5" ht="20.100000000000001" customHeight="1" x14ac:dyDescent="0.25">
      <c r="A8" s="23">
        <v>49</v>
      </c>
      <c r="B8" s="25" t="s">
        <v>98</v>
      </c>
      <c r="C8" s="29" t="s">
        <v>87</v>
      </c>
      <c r="D8" s="35" t="s">
        <v>88</v>
      </c>
      <c r="E8" s="26" t="s">
        <v>99</v>
      </c>
    </row>
    <row r="9" spans="1:5" ht="20.100000000000001" customHeight="1" x14ac:dyDescent="0.25">
      <c r="A9" s="32">
        <v>4</v>
      </c>
      <c r="B9" s="33" t="s">
        <v>100</v>
      </c>
      <c r="C9" s="34" t="s">
        <v>87</v>
      </c>
      <c r="D9" s="35" t="s">
        <v>88</v>
      </c>
      <c r="E9" s="36" t="s">
        <v>101</v>
      </c>
    </row>
    <row r="10" spans="1:5" ht="20.100000000000001" customHeight="1" x14ac:dyDescent="0.25">
      <c r="A10" s="23">
        <v>52</v>
      </c>
      <c r="B10" s="25" t="s">
        <v>102</v>
      </c>
      <c r="C10" s="29" t="s">
        <v>87</v>
      </c>
      <c r="D10" s="35" t="s">
        <v>88</v>
      </c>
      <c r="E10" s="26" t="s">
        <v>103</v>
      </c>
    </row>
    <row r="11" spans="1:5" ht="20.100000000000001" customHeight="1" x14ac:dyDescent="0.25">
      <c r="A11" s="32">
        <v>53</v>
      </c>
      <c r="B11" s="33" t="s">
        <v>104</v>
      </c>
      <c r="C11" s="34" t="s">
        <v>87</v>
      </c>
      <c r="D11" s="35" t="s">
        <v>88</v>
      </c>
      <c r="E11" s="36" t="s">
        <v>105</v>
      </c>
    </row>
    <row r="12" spans="1:5" ht="20.100000000000001" customHeight="1" x14ac:dyDescent="0.25">
      <c r="A12" s="23">
        <v>3</v>
      </c>
      <c r="B12" s="25" t="s">
        <v>106</v>
      </c>
      <c r="C12" s="29" t="s">
        <v>87</v>
      </c>
      <c r="D12" s="35" t="s">
        <v>88</v>
      </c>
      <c r="E12" s="26" t="s">
        <v>107</v>
      </c>
    </row>
    <row r="13" spans="1:5" ht="20.100000000000001" customHeight="1" x14ac:dyDescent="0.25">
      <c r="A13" s="32">
        <v>51</v>
      </c>
      <c r="B13" s="33" t="s">
        <v>108</v>
      </c>
      <c r="C13" s="34" t="s">
        <v>109</v>
      </c>
      <c r="D13" s="35" t="s">
        <v>110</v>
      </c>
      <c r="E13" s="36" t="s">
        <v>111</v>
      </c>
    </row>
    <row r="14" spans="1:5" ht="20.100000000000001" customHeight="1" x14ac:dyDescent="0.25">
      <c r="A14" s="23">
        <v>54</v>
      </c>
      <c r="B14" s="25" t="s">
        <v>112</v>
      </c>
      <c r="C14" s="29" t="s">
        <v>87</v>
      </c>
      <c r="D14" s="35" t="s">
        <v>88</v>
      </c>
      <c r="E14" s="26" t="s">
        <v>113</v>
      </c>
    </row>
    <row r="15" spans="1:5" ht="20.100000000000001" customHeight="1" x14ac:dyDescent="0.25">
      <c r="A15" s="32">
        <v>64</v>
      </c>
      <c r="B15" s="33" t="s">
        <v>114</v>
      </c>
      <c r="C15" s="34" t="s">
        <v>115</v>
      </c>
      <c r="D15" s="35" t="s">
        <v>110</v>
      </c>
      <c r="E15" s="36" t="s">
        <v>116</v>
      </c>
    </row>
    <row r="16" spans="1:5" ht="20.100000000000001" customHeight="1" x14ac:dyDescent="0.25">
      <c r="A16" s="23">
        <v>56</v>
      </c>
      <c r="B16" s="25" t="s">
        <v>117</v>
      </c>
      <c r="C16" s="29" t="s">
        <v>118</v>
      </c>
      <c r="D16" s="35" t="s">
        <v>119</v>
      </c>
      <c r="E16" s="26" t="s">
        <v>120</v>
      </c>
    </row>
    <row r="17" spans="1:5" ht="20.100000000000001" customHeight="1" x14ac:dyDescent="0.25">
      <c r="A17" s="32">
        <v>57</v>
      </c>
      <c r="B17" s="33" t="s">
        <v>121</v>
      </c>
      <c r="C17" s="34" t="s">
        <v>118</v>
      </c>
      <c r="D17" s="35" t="s">
        <v>119</v>
      </c>
      <c r="E17" s="36" t="s">
        <v>122</v>
      </c>
    </row>
    <row r="18" spans="1:5" ht="20.100000000000001" customHeight="1" x14ac:dyDescent="0.25">
      <c r="A18" s="23">
        <v>58</v>
      </c>
      <c r="B18" s="25" t="s">
        <v>123</v>
      </c>
      <c r="C18" s="29" t="s">
        <v>118</v>
      </c>
      <c r="D18" s="35" t="s">
        <v>119</v>
      </c>
      <c r="E18" s="26" t="s">
        <v>124</v>
      </c>
    </row>
    <row r="19" spans="1:5" ht="20.100000000000001" customHeight="1" x14ac:dyDescent="0.25">
      <c r="A19" s="32">
        <v>80</v>
      </c>
      <c r="B19" s="33" t="s">
        <v>125</v>
      </c>
      <c r="C19" s="34" t="s">
        <v>118</v>
      </c>
      <c r="D19" s="35" t="s">
        <v>119</v>
      </c>
      <c r="E19" s="36" t="s">
        <v>126</v>
      </c>
    </row>
    <row r="20" spans="1:5" ht="20.100000000000001" customHeight="1" x14ac:dyDescent="0.25">
      <c r="A20" s="23">
        <v>60</v>
      </c>
      <c r="B20" s="25" t="s">
        <v>127</v>
      </c>
      <c r="C20" s="29" t="s">
        <v>128</v>
      </c>
      <c r="D20" s="35" t="s">
        <v>110</v>
      </c>
      <c r="E20" s="26" t="s">
        <v>129</v>
      </c>
    </row>
    <row r="21" spans="1:5" ht="20.100000000000001" customHeight="1" x14ac:dyDescent="0.25">
      <c r="A21" s="32">
        <v>61</v>
      </c>
      <c r="B21" s="33" t="s">
        <v>130</v>
      </c>
      <c r="C21" s="34" t="s">
        <v>128</v>
      </c>
      <c r="D21" s="35" t="s">
        <v>110</v>
      </c>
      <c r="E21" s="36" t="s">
        <v>131</v>
      </c>
    </row>
    <row r="22" spans="1:5" ht="20.100000000000001" customHeight="1" x14ac:dyDescent="0.25">
      <c r="A22" s="23">
        <v>62</v>
      </c>
      <c r="B22" s="25" t="s">
        <v>132</v>
      </c>
      <c r="C22" s="29" t="s">
        <v>128</v>
      </c>
      <c r="D22" s="35" t="s">
        <v>110</v>
      </c>
      <c r="E22" s="26" t="s">
        <v>133</v>
      </c>
    </row>
    <row r="23" spans="1:5" ht="20.100000000000001" customHeight="1" x14ac:dyDescent="0.25">
      <c r="A23" s="32">
        <v>59</v>
      </c>
      <c r="B23" s="33" t="s">
        <v>134</v>
      </c>
      <c r="C23" s="34" t="s">
        <v>135</v>
      </c>
      <c r="D23" s="35" t="s">
        <v>110</v>
      </c>
      <c r="E23" s="36" t="s">
        <v>136</v>
      </c>
    </row>
    <row r="24" spans="1:5" ht="20.100000000000001" customHeight="1" x14ac:dyDescent="0.25">
      <c r="A24" s="23">
        <v>77</v>
      </c>
      <c r="B24" s="25" t="s">
        <v>137</v>
      </c>
      <c r="C24" s="29" t="s">
        <v>87</v>
      </c>
      <c r="D24" s="35" t="s">
        <v>88</v>
      </c>
      <c r="E24" s="26" t="s">
        <v>138</v>
      </c>
    </row>
    <row r="25" spans="1:5" ht="20.100000000000001" customHeight="1" x14ac:dyDescent="0.25">
      <c r="A25" s="32">
        <v>63</v>
      </c>
      <c r="B25" s="33" t="s">
        <v>139</v>
      </c>
      <c r="C25" s="34" t="s">
        <v>87</v>
      </c>
      <c r="D25" s="35" t="s">
        <v>88</v>
      </c>
      <c r="E25" s="36" t="s">
        <v>140</v>
      </c>
    </row>
    <row r="26" spans="1:5" ht="20.100000000000001" customHeight="1" x14ac:dyDescent="0.25">
      <c r="A26" s="23">
        <v>82</v>
      </c>
      <c r="B26" s="25" t="s">
        <v>141</v>
      </c>
      <c r="C26" s="29" t="s">
        <v>87</v>
      </c>
      <c r="D26" s="35" t="s">
        <v>88</v>
      </c>
      <c r="E26" s="26" t="s">
        <v>142</v>
      </c>
    </row>
    <row r="27" spans="1:5" ht="20.100000000000001" customHeight="1" x14ac:dyDescent="0.25">
      <c r="A27" s="32">
        <v>74</v>
      </c>
      <c r="B27" s="33" t="s">
        <v>143</v>
      </c>
      <c r="C27" s="34" t="s">
        <v>87</v>
      </c>
      <c r="D27" s="35" t="s">
        <v>88</v>
      </c>
      <c r="E27" s="36" t="s">
        <v>144</v>
      </c>
    </row>
    <row r="28" spans="1:5" ht="20.100000000000001" customHeight="1" x14ac:dyDescent="0.25">
      <c r="A28" s="23">
        <v>76</v>
      </c>
      <c r="B28" s="25" t="s">
        <v>145</v>
      </c>
      <c r="C28" s="29" t="s">
        <v>87</v>
      </c>
      <c r="D28" s="35" t="s">
        <v>88</v>
      </c>
      <c r="E28" s="26" t="s">
        <v>146</v>
      </c>
    </row>
    <row r="29" spans="1:5" ht="20.100000000000001" customHeight="1" x14ac:dyDescent="0.25">
      <c r="A29" s="32">
        <v>81</v>
      </c>
      <c r="B29" s="33" t="s">
        <v>147</v>
      </c>
      <c r="C29" s="34" t="s">
        <v>148</v>
      </c>
      <c r="D29" s="35" t="s">
        <v>110</v>
      </c>
      <c r="E29" s="36" t="s">
        <v>149</v>
      </c>
    </row>
    <row r="30" spans="1:5" ht="20.100000000000001" customHeight="1" x14ac:dyDescent="0.25">
      <c r="A30" s="23">
        <v>73</v>
      </c>
      <c r="B30" s="25" t="s">
        <v>150</v>
      </c>
      <c r="C30" s="29" t="s">
        <v>87</v>
      </c>
      <c r="D30" s="35" t="s">
        <v>88</v>
      </c>
      <c r="E30" s="26" t="s">
        <v>151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tabSelected="1" workbookViewId="0">
      <selection sqref="A1:G1"/>
    </sheetView>
  </sheetViews>
  <sheetFormatPr baseColWidth="10" defaultColWidth="9.140625" defaultRowHeight="15" x14ac:dyDescent="0.25"/>
  <cols>
    <col min="1" max="1" width="26" customWidth="1"/>
    <col min="2" max="2" width="32" customWidth="1"/>
    <col min="3" max="3" width="15" customWidth="1"/>
    <col min="4" max="4" width="28" customWidth="1"/>
    <col min="5" max="5" width="12" customWidth="1"/>
    <col min="6" max="6" width="22" customWidth="1"/>
    <col min="7" max="7" width="35" customWidth="1"/>
  </cols>
  <sheetData>
    <row r="1" spans="1:7" ht="32.1" customHeight="1" x14ac:dyDescent="0.25">
      <c r="A1" s="44" t="s">
        <v>152</v>
      </c>
      <c r="B1" s="40"/>
      <c r="C1" s="40"/>
      <c r="D1" s="40"/>
      <c r="E1" s="40"/>
      <c r="F1" s="40"/>
      <c r="G1" s="40"/>
    </row>
    <row r="2" spans="1:7" ht="26.1" customHeight="1" x14ac:dyDescent="0.25">
      <c r="A2" s="2" t="s">
        <v>12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158</v>
      </c>
    </row>
    <row r="3" spans="1:7" ht="20.100000000000001" customHeight="1" x14ac:dyDescent="0.25">
      <c r="A3" s="36" t="s">
        <v>29</v>
      </c>
      <c r="B3" s="36" t="s">
        <v>31</v>
      </c>
      <c r="C3" s="34">
        <v>33</v>
      </c>
      <c r="D3" s="36" t="s">
        <v>90</v>
      </c>
      <c r="E3" s="34">
        <v>50</v>
      </c>
      <c r="F3" s="34" t="s">
        <v>88</v>
      </c>
      <c r="G3" s="36" t="s">
        <v>159</v>
      </c>
    </row>
    <row r="4" spans="1:7" ht="20.100000000000001" customHeight="1" x14ac:dyDescent="0.25">
      <c r="A4" s="26" t="s">
        <v>29</v>
      </c>
      <c r="B4" s="26" t="s">
        <v>31</v>
      </c>
      <c r="C4" s="29">
        <v>33</v>
      </c>
      <c r="D4" s="26" t="s">
        <v>94</v>
      </c>
      <c r="E4" s="29">
        <v>2</v>
      </c>
      <c r="F4" s="29" t="s">
        <v>88</v>
      </c>
      <c r="G4" s="26" t="s">
        <v>160</v>
      </c>
    </row>
    <row r="5" spans="1:7" ht="20.100000000000001" customHeight="1" x14ac:dyDescent="0.25">
      <c r="A5" s="36" t="s">
        <v>29</v>
      </c>
      <c r="B5" s="36" t="s">
        <v>31</v>
      </c>
      <c r="C5" s="34">
        <v>33</v>
      </c>
      <c r="D5" s="36" t="s">
        <v>102</v>
      </c>
      <c r="E5" s="34">
        <v>3</v>
      </c>
      <c r="F5" s="34" t="s">
        <v>88</v>
      </c>
      <c r="G5" s="36" t="s">
        <v>161</v>
      </c>
    </row>
    <row r="6" spans="1:7" ht="20.100000000000001" customHeight="1" x14ac:dyDescent="0.25">
      <c r="A6" s="26" t="s">
        <v>29</v>
      </c>
      <c r="B6" s="26" t="s">
        <v>31</v>
      </c>
      <c r="C6" s="29">
        <v>33</v>
      </c>
      <c r="D6" s="26" t="s">
        <v>98</v>
      </c>
      <c r="E6" s="29">
        <v>1</v>
      </c>
      <c r="F6" s="29" t="s">
        <v>88</v>
      </c>
      <c r="G6" s="26" t="s">
        <v>162</v>
      </c>
    </row>
    <row r="7" spans="1:7" ht="20.100000000000001" customHeight="1" x14ac:dyDescent="0.25">
      <c r="A7" s="36" t="s">
        <v>29</v>
      </c>
      <c r="B7" s="36" t="s">
        <v>31</v>
      </c>
      <c r="C7" s="34">
        <v>33</v>
      </c>
      <c r="D7" s="36" t="s">
        <v>106</v>
      </c>
      <c r="E7" s="34">
        <v>1</v>
      </c>
      <c r="F7" s="34" t="s">
        <v>88</v>
      </c>
      <c r="G7" s="36" t="s">
        <v>163</v>
      </c>
    </row>
    <row r="8" spans="1:7" ht="20.100000000000001" customHeight="1" x14ac:dyDescent="0.25">
      <c r="A8" s="26" t="s">
        <v>37</v>
      </c>
      <c r="B8" s="26" t="s">
        <v>38</v>
      </c>
      <c r="C8" s="29">
        <v>15</v>
      </c>
      <c r="D8" s="26" t="s">
        <v>92</v>
      </c>
      <c r="E8" s="29">
        <v>50</v>
      </c>
      <c r="F8" s="29" t="s">
        <v>88</v>
      </c>
      <c r="G8" s="26" t="s">
        <v>164</v>
      </c>
    </row>
    <row r="9" spans="1:7" ht="20.100000000000001" customHeight="1" x14ac:dyDescent="0.25">
      <c r="A9" s="36" t="s">
        <v>37</v>
      </c>
      <c r="B9" s="36" t="s">
        <v>38</v>
      </c>
      <c r="C9" s="34">
        <v>15</v>
      </c>
      <c r="D9" s="36" t="s">
        <v>98</v>
      </c>
      <c r="E9" s="34">
        <v>15</v>
      </c>
      <c r="F9" s="34" t="s">
        <v>88</v>
      </c>
      <c r="G9" s="36" t="s">
        <v>165</v>
      </c>
    </row>
    <row r="10" spans="1:7" ht="20.100000000000001" customHeight="1" x14ac:dyDescent="0.25">
      <c r="A10" s="26" t="s">
        <v>37</v>
      </c>
      <c r="B10" s="26" t="s">
        <v>38</v>
      </c>
      <c r="C10" s="29">
        <v>15</v>
      </c>
      <c r="D10" s="26" t="s">
        <v>102</v>
      </c>
      <c r="E10" s="29">
        <v>8</v>
      </c>
      <c r="F10" s="29" t="s">
        <v>88</v>
      </c>
      <c r="G10" s="26" t="s">
        <v>166</v>
      </c>
    </row>
    <row r="11" spans="1:7" ht="20.100000000000001" customHeight="1" x14ac:dyDescent="0.25">
      <c r="A11" s="36" t="s">
        <v>37</v>
      </c>
      <c r="B11" s="36" t="s">
        <v>38</v>
      </c>
      <c r="C11" s="34">
        <v>15</v>
      </c>
      <c r="D11" s="36" t="s">
        <v>108</v>
      </c>
      <c r="E11" s="34">
        <v>25</v>
      </c>
      <c r="F11" s="34" t="s">
        <v>110</v>
      </c>
      <c r="G11" s="36" t="s">
        <v>167</v>
      </c>
    </row>
    <row r="12" spans="1:7" ht="20.100000000000001" customHeight="1" x14ac:dyDescent="0.25">
      <c r="A12" s="26" t="s">
        <v>37</v>
      </c>
      <c r="B12" s="26" t="s">
        <v>38</v>
      </c>
      <c r="C12" s="29">
        <v>15</v>
      </c>
      <c r="D12" s="26" t="s">
        <v>94</v>
      </c>
      <c r="E12" s="29">
        <v>1.5</v>
      </c>
      <c r="F12" s="29" t="s">
        <v>88</v>
      </c>
      <c r="G12" s="26" t="s">
        <v>168</v>
      </c>
    </row>
    <row r="13" spans="1:7" ht="20.100000000000001" customHeight="1" x14ac:dyDescent="0.25">
      <c r="A13" s="36" t="s">
        <v>37</v>
      </c>
      <c r="B13" s="36" t="s">
        <v>38</v>
      </c>
      <c r="C13" s="34">
        <v>15</v>
      </c>
      <c r="D13" s="36" t="s">
        <v>106</v>
      </c>
      <c r="E13" s="34">
        <v>0.5</v>
      </c>
      <c r="F13" s="34" t="s">
        <v>88</v>
      </c>
      <c r="G13" s="36" t="s">
        <v>169</v>
      </c>
    </row>
    <row r="14" spans="1:7" ht="20.100000000000001" customHeight="1" x14ac:dyDescent="0.25">
      <c r="A14" s="26" t="s">
        <v>37</v>
      </c>
      <c r="B14" s="26" t="s">
        <v>38</v>
      </c>
      <c r="C14" s="29">
        <v>15</v>
      </c>
      <c r="D14" s="26" t="s">
        <v>117</v>
      </c>
      <c r="E14" s="29">
        <v>250</v>
      </c>
      <c r="F14" s="29" t="s">
        <v>119</v>
      </c>
      <c r="G14" s="26" t="s">
        <v>170</v>
      </c>
    </row>
    <row r="15" spans="1:7" ht="20.100000000000001" customHeight="1" x14ac:dyDescent="0.25">
      <c r="A15" s="36" t="s">
        <v>37</v>
      </c>
      <c r="B15" s="36" t="s">
        <v>38</v>
      </c>
      <c r="C15" s="34">
        <v>15</v>
      </c>
      <c r="D15" s="36" t="s">
        <v>123</v>
      </c>
      <c r="E15" s="34">
        <v>100</v>
      </c>
      <c r="F15" s="34" t="s">
        <v>119</v>
      </c>
      <c r="G15" s="36" t="s">
        <v>171</v>
      </c>
    </row>
    <row r="16" spans="1:7" ht="20.100000000000001" customHeight="1" x14ac:dyDescent="0.25">
      <c r="A16" s="26" t="s">
        <v>44</v>
      </c>
      <c r="B16" s="26" t="s">
        <v>45</v>
      </c>
      <c r="C16" s="29">
        <v>12</v>
      </c>
      <c r="D16" s="26" t="s">
        <v>92</v>
      </c>
      <c r="E16" s="29">
        <v>25</v>
      </c>
      <c r="F16" s="29" t="s">
        <v>88</v>
      </c>
      <c r="G16" s="26" t="s">
        <v>172</v>
      </c>
    </row>
    <row r="17" spans="1:7" ht="20.100000000000001" customHeight="1" x14ac:dyDescent="0.25">
      <c r="A17" s="36" t="s">
        <v>44</v>
      </c>
      <c r="B17" s="36" t="s">
        <v>45</v>
      </c>
      <c r="C17" s="34">
        <v>12</v>
      </c>
      <c r="D17" s="36" t="s">
        <v>104</v>
      </c>
      <c r="E17" s="34">
        <v>8</v>
      </c>
      <c r="F17" s="34" t="s">
        <v>88</v>
      </c>
      <c r="G17" s="36" t="s">
        <v>173</v>
      </c>
    </row>
    <row r="18" spans="1:7" ht="20.100000000000001" customHeight="1" x14ac:dyDescent="0.25">
      <c r="A18" s="26" t="s">
        <v>44</v>
      </c>
      <c r="B18" s="26" t="s">
        <v>45</v>
      </c>
      <c r="C18" s="29">
        <v>12</v>
      </c>
      <c r="D18" s="26" t="s">
        <v>98</v>
      </c>
      <c r="E18" s="29">
        <v>5</v>
      </c>
      <c r="F18" s="29" t="s">
        <v>88</v>
      </c>
      <c r="G18" s="26" t="s">
        <v>174</v>
      </c>
    </row>
    <row r="19" spans="1:7" ht="20.100000000000001" customHeight="1" x14ac:dyDescent="0.25">
      <c r="A19" s="36" t="s">
        <v>44</v>
      </c>
      <c r="B19" s="36" t="s">
        <v>45</v>
      </c>
      <c r="C19" s="34">
        <v>12</v>
      </c>
      <c r="D19" s="36" t="s">
        <v>108</v>
      </c>
      <c r="E19" s="34">
        <v>15</v>
      </c>
      <c r="F19" s="34" t="s">
        <v>110</v>
      </c>
      <c r="G19" s="36" t="s">
        <v>175</v>
      </c>
    </row>
    <row r="20" spans="1:7" ht="20.100000000000001" customHeight="1" x14ac:dyDescent="0.25">
      <c r="A20" s="26" t="s">
        <v>44</v>
      </c>
      <c r="B20" s="26" t="s">
        <v>45</v>
      </c>
      <c r="C20" s="29">
        <v>12</v>
      </c>
      <c r="D20" s="26" t="s">
        <v>94</v>
      </c>
      <c r="E20" s="29">
        <v>0.5</v>
      </c>
      <c r="F20" s="29" t="s">
        <v>88</v>
      </c>
      <c r="G20" s="26" t="s">
        <v>176</v>
      </c>
    </row>
    <row r="21" spans="1:7" ht="20.100000000000001" customHeight="1" x14ac:dyDescent="0.25">
      <c r="A21" s="36" t="s">
        <v>44</v>
      </c>
      <c r="B21" s="36" t="s">
        <v>45</v>
      </c>
      <c r="C21" s="34">
        <v>12</v>
      </c>
      <c r="D21" s="36" t="s">
        <v>106</v>
      </c>
      <c r="E21" s="34">
        <v>0.25</v>
      </c>
      <c r="F21" s="34" t="s">
        <v>88</v>
      </c>
      <c r="G21" s="36" t="s">
        <v>177</v>
      </c>
    </row>
    <row r="22" spans="1:7" ht="20.100000000000001" customHeight="1" x14ac:dyDescent="0.25">
      <c r="A22" s="26" t="s">
        <v>44</v>
      </c>
      <c r="B22" s="26" t="s">
        <v>45</v>
      </c>
      <c r="C22" s="29">
        <v>12</v>
      </c>
      <c r="D22" s="26" t="s">
        <v>127</v>
      </c>
      <c r="E22" s="29">
        <v>2</v>
      </c>
      <c r="F22" s="29" t="s">
        <v>110</v>
      </c>
      <c r="G22" s="26" t="s">
        <v>178</v>
      </c>
    </row>
    <row r="23" spans="1:7" ht="20.100000000000001" customHeight="1" x14ac:dyDescent="0.25">
      <c r="A23" s="37"/>
      <c r="B23" s="37"/>
      <c r="C23" s="34"/>
      <c r="D23" s="37"/>
      <c r="E23" s="34"/>
      <c r="F23" s="34"/>
      <c r="G23" s="37"/>
    </row>
    <row r="24" spans="1:7" ht="20.100000000000001" customHeight="1" x14ac:dyDescent="0.25">
      <c r="A24" s="38"/>
      <c r="B24" s="38"/>
      <c r="C24" s="20"/>
      <c r="D24" s="38"/>
      <c r="E24" s="20"/>
      <c r="F24" s="20"/>
      <c r="G24" s="38"/>
    </row>
    <row r="25" spans="1:7" ht="20.100000000000001" customHeight="1" x14ac:dyDescent="0.25">
      <c r="A25" s="37"/>
      <c r="B25" s="37"/>
      <c r="C25" s="34"/>
      <c r="D25" s="37"/>
      <c r="E25" s="34"/>
      <c r="F25" s="34"/>
      <c r="G25" s="37"/>
    </row>
    <row r="26" spans="1:7" ht="20.100000000000001" customHeight="1" x14ac:dyDescent="0.25">
      <c r="A26" s="38"/>
      <c r="B26" s="38"/>
      <c r="C26" s="20"/>
      <c r="D26" s="38"/>
      <c r="E26" s="20"/>
      <c r="F26" s="20"/>
      <c r="G26" s="38"/>
    </row>
    <row r="27" spans="1:7" ht="20.100000000000001" customHeight="1" x14ac:dyDescent="0.25">
      <c r="A27" s="37"/>
      <c r="B27" s="37"/>
      <c r="C27" s="34"/>
      <c r="D27" s="37"/>
      <c r="E27" s="34"/>
      <c r="F27" s="34"/>
      <c r="G27" s="37"/>
    </row>
    <row r="28" spans="1:7" ht="20.100000000000001" customHeight="1" x14ac:dyDescent="0.25">
      <c r="A28" s="38"/>
      <c r="B28" s="38"/>
      <c r="C28" s="20"/>
      <c r="D28" s="38"/>
      <c r="E28" s="20"/>
      <c r="F28" s="20"/>
      <c r="G28" s="38"/>
    </row>
    <row r="29" spans="1:7" ht="20.100000000000001" customHeight="1" x14ac:dyDescent="0.25">
      <c r="A29" s="37"/>
      <c r="B29" s="37"/>
      <c r="C29" s="34"/>
      <c r="D29" s="37"/>
      <c r="E29" s="34"/>
      <c r="F29" s="34"/>
      <c r="G29" s="37"/>
    </row>
    <row r="30" spans="1:7" ht="20.100000000000001" customHeight="1" x14ac:dyDescent="0.25">
      <c r="A30" s="38"/>
      <c r="B30" s="38"/>
      <c r="C30" s="20"/>
      <c r="D30" s="38"/>
      <c r="E30" s="20"/>
      <c r="F30" s="20"/>
      <c r="G30" s="38"/>
    </row>
    <row r="31" spans="1:7" ht="20.100000000000001" customHeight="1" x14ac:dyDescent="0.25">
      <c r="A31" s="37"/>
      <c r="B31" s="37"/>
      <c r="C31" s="34"/>
      <c r="D31" s="37"/>
      <c r="E31" s="34"/>
      <c r="F31" s="34"/>
      <c r="G31" s="37"/>
    </row>
    <row r="32" spans="1:7" ht="20.100000000000001" customHeight="1" x14ac:dyDescent="0.25">
      <c r="A32" s="38"/>
      <c r="B32" s="38"/>
      <c r="C32" s="20"/>
      <c r="D32" s="38"/>
      <c r="E32" s="20"/>
      <c r="F32" s="20"/>
      <c r="G32" s="38"/>
    </row>
    <row r="33" spans="1:7" ht="20.100000000000001" customHeight="1" x14ac:dyDescent="0.25">
      <c r="A33" s="37"/>
      <c r="B33" s="37"/>
      <c r="C33" s="34"/>
      <c r="D33" s="37"/>
      <c r="E33" s="34"/>
      <c r="F33" s="34"/>
      <c r="G33" s="37"/>
    </row>
    <row r="34" spans="1:7" ht="20.100000000000001" customHeight="1" x14ac:dyDescent="0.25">
      <c r="A34" s="38"/>
      <c r="B34" s="38"/>
      <c r="C34" s="20"/>
      <c r="D34" s="38"/>
      <c r="E34" s="20"/>
      <c r="F34" s="20"/>
      <c r="G34" s="38"/>
    </row>
    <row r="35" spans="1:7" ht="20.100000000000001" customHeight="1" x14ac:dyDescent="0.25">
      <c r="A35" s="37"/>
      <c r="B35" s="37"/>
      <c r="C35" s="34"/>
      <c r="D35" s="37"/>
      <c r="E35" s="34"/>
      <c r="F35" s="34"/>
      <c r="G35" s="37"/>
    </row>
    <row r="36" spans="1:7" ht="20.100000000000001" customHeight="1" x14ac:dyDescent="0.25">
      <c r="A36" s="38"/>
      <c r="B36" s="38"/>
      <c r="C36" s="20"/>
      <c r="D36" s="38"/>
      <c r="E36" s="20"/>
      <c r="F36" s="20"/>
      <c r="G36" s="38"/>
    </row>
    <row r="37" spans="1:7" ht="20.100000000000001" customHeight="1" x14ac:dyDescent="0.25">
      <c r="A37" s="37"/>
      <c r="B37" s="37"/>
      <c r="C37" s="34"/>
      <c r="D37" s="37"/>
      <c r="E37" s="34"/>
      <c r="F37" s="34"/>
      <c r="G37" s="37"/>
    </row>
    <row r="38" spans="1:7" ht="20.100000000000001" customHeight="1" x14ac:dyDescent="0.25">
      <c r="A38" s="38"/>
      <c r="B38" s="38"/>
      <c r="C38" s="20"/>
      <c r="D38" s="38"/>
      <c r="E38" s="20"/>
      <c r="F38" s="20"/>
      <c r="G38" s="38"/>
    </row>
    <row r="39" spans="1:7" ht="20.100000000000001" customHeight="1" x14ac:dyDescent="0.25">
      <c r="A39" s="37"/>
      <c r="B39" s="37"/>
      <c r="C39" s="34"/>
      <c r="D39" s="37"/>
      <c r="E39" s="34"/>
      <c r="F39" s="34"/>
      <c r="G39" s="37"/>
    </row>
    <row r="40" spans="1:7" ht="20.100000000000001" customHeight="1" x14ac:dyDescent="0.25">
      <c r="A40" s="38"/>
      <c r="B40" s="38"/>
      <c r="C40" s="20"/>
      <c r="D40" s="38"/>
      <c r="E40" s="20"/>
      <c r="F40" s="20"/>
      <c r="G40" s="38"/>
    </row>
    <row r="41" spans="1:7" ht="20.100000000000001" customHeight="1" x14ac:dyDescent="0.25">
      <c r="A41" s="37"/>
      <c r="B41" s="37"/>
      <c r="C41" s="34"/>
      <c r="D41" s="37"/>
      <c r="E41" s="34"/>
      <c r="F41" s="34"/>
      <c r="G41" s="37"/>
    </row>
    <row r="42" spans="1:7" ht="20.100000000000001" customHeight="1" x14ac:dyDescent="0.25">
      <c r="A42" s="38"/>
      <c r="B42" s="38"/>
      <c r="C42" s="20"/>
      <c r="D42" s="38"/>
      <c r="E42" s="20"/>
      <c r="F42" s="20"/>
      <c r="G42" s="38"/>
    </row>
    <row r="43" spans="1:7" ht="20.100000000000001" customHeight="1" x14ac:dyDescent="0.25">
      <c r="A43" s="37"/>
      <c r="B43" s="37"/>
      <c r="C43" s="34"/>
      <c r="D43" s="37"/>
      <c r="E43" s="34"/>
      <c r="F43" s="34"/>
      <c r="G43" s="37"/>
    </row>
    <row r="44" spans="1:7" ht="20.100000000000001" customHeight="1" x14ac:dyDescent="0.25">
      <c r="A44" s="38"/>
      <c r="B44" s="38"/>
      <c r="C44" s="20"/>
      <c r="D44" s="38"/>
      <c r="E44" s="20"/>
      <c r="F44" s="20"/>
      <c r="G44" s="38"/>
    </row>
    <row r="45" spans="1:7" ht="20.100000000000001" customHeight="1" x14ac:dyDescent="0.25">
      <c r="A45" s="37"/>
      <c r="B45" s="37"/>
      <c r="C45" s="34"/>
      <c r="D45" s="37"/>
      <c r="E45" s="34"/>
      <c r="F45" s="34"/>
      <c r="G45" s="37"/>
    </row>
    <row r="46" spans="1:7" ht="20.100000000000001" customHeight="1" x14ac:dyDescent="0.25">
      <c r="A46" s="38"/>
      <c r="B46" s="38"/>
      <c r="C46" s="20"/>
      <c r="D46" s="38"/>
      <c r="E46" s="20"/>
      <c r="F46" s="20"/>
      <c r="G46" s="38"/>
    </row>
    <row r="47" spans="1:7" ht="20.100000000000001" customHeight="1" x14ac:dyDescent="0.25">
      <c r="A47" s="37"/>
      <c r="B47" s="37"/>
      <c r="C47" s="34"/>
      <c r="D47" s="37"/>
      <c r="E47" s="34"/>
      <c r="F47" s="34"/>
      <c r="G47" s="37"/>
    </row>
    <row r="48" spans="1:7" ht="20.100000000000001" customHeight="1" x14ac:dyDescent="0.25">
      <c r="A48" s="38"/>
      <c r="B48" s="38"/>
      <c r="C48" s="20"/>
      <c r="D48" s="38"/>
      <c r="E48" s="20"/>
      <c r="F48" s="20"/>
      <c r="G48" s="38"/>
    </row>
    <row r="49" spans="1:7" ht="20.100000000000001" customHeight="1" x14ac:dyDescent="0.25">
      <c r="A49" s="37"/>
      <c r="B49" s="37"/>
      <c r="C49" s="34"/>
      <c r="D49" s="37"/>
      <c r="E49" s="34"/>
      <c r="F49" s="34"/>
      <c r="G49" s="37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Instrucciones_y_Guía</vt:lpstr>
      <vt:lpstr>Plantilla_Recetas</vt:lpstr>
      <vt:lpstr>Catálogo_Materias_Primas</vt:lpstr>
      <vt:lpstr>Formato_Detallado_Ingredientes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Coc</cp:lastModifiedBy>
  <dcterms:created xsi:type="dcterms:W3CDTF">2026-09-29T20:01:20Z</dcterms:created>
  <dcterms:modified xsi:type="dcterms:W3CDTF">2026-09-29T21:42:12Z</dcterms:modified>
</cp:coreProperties>
</file>