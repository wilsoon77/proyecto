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_y_Explicación" sheetId="1" state="visible" r:id="rId1"/>
    <sheet xmlns:r="http://schemas.openxmlformats.org/officeDocument/2006/relationships" name="Matriz_Diaria_Septiembre" sheetId="2" state="visible" r:id="rId2"/>
    <sheet xmlns:r="http://schemas.openxmlformats.org/officeDocument/2006/relationships" name="Carga_Detallada_Dia_a_Dia" sheetId="3" state="visible" r:id="rId3"/>
    <sheet xmlns:r="http://schemas.openxmlformats.org/officeDocument/2006/relationships" name="Resumen_Consolidado_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Q #,##0.00"/>
    <numFmt numFmtId="165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2B170F"/>
      <sz val="15"/>
    </font>
    <font>
      <name val="Segoe UI"/>
      <i val="1"/>
      <color rgb="00555555"/>
      <sz val="10"/>
    </font>
    <font>
      <name val="Segoe UI"/>
      <b val="1"/>
      <color rgb="005C3D2E"/>
      <sz val="11"/>
    </font>
    <font>
      <name val="Segoe UI"/>
      <color rgb="00222222"/>
      <sz val="9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i val="1"/>
      <color rgb="00777777"/>
      <sz val="8"/>
    </font>
    <font>
      <name val="Segoe UI"/>
      <color rgb="00B06000"/>
      <sz val="9"/>
    </font>
    <font>
      <name val="Segoe UI"/>
      <b val="1"/>
      <color rgb="00137333"/>
      <sz val="9"/>
    </font>
    <font>
      <name val="Segoe UI"/>
      <b val="1"/>
      <color rgb="00222222"/>
      <sz val="9"/>
    </font>
    <font>
      <name val="Segoe UI"/>
      <b val="1"/>
      <color rgb="00B06000"/>
      <sz val="9"/>
    </font>
    <font>
      <name val="Segoe UI"/>
      <b val="1"/>
      <color rgb="002B170F"/>
      <sz val="9"/>
    </font>
    <font>
      <name val="Segoe UI"/>
      <b val="1"/>
      <color rgb="002B170F"/>
      <sz val="10"/>
    </font>
  </fonts>
  <fills count="9">
    <fill>
      <patternFill/>
    </fill>
    <fill>
      <patternFill patternType="gray125"/>
    </fill>
    <fill>
      <patternFill patternType="solid">
        <fgColor rgb="002B170F"/>
        <bgColor rgb="002B170F"/>
      </patternFill>
    </fill>
    <fill>
      <patternFill patternType="solid">
        <fgColor rgb="005C3D2E"/>
        <bgColor rgb="005C3D2E"/>
      </patternFill>
    </fill>
    <fill>
      <patternFill patternType="solid">
        <fgColor rgb="00D97706"/>
        <bgColor rgb="00D97706"/>
      </patternFill>
    </fill>
    <fill>
      <patternFill patternType="solid">
        <fgColor rgb="00F8F9FA"/>
        <bgColor rgb="00F8F9FA"/>
      </patternFill>
    </fill>
    <fill>
      <patternFill patternType="solid">
        <fgColor rgb="00FEF7E0"/>
        <bgColor rgb="00FEF7E0"/>
      </patternFill>
    </fill>
    <fill>
      <patternFill patternType="solid">
        <fgColor rgb="00E6F4EA"/>
        <bgColor rgb="00E6F4EA"/>
      </patternFill>
    </fill>
    <fill>
      <patternFill patternType="solid">
        <fgColor rgb="00FAF5EE"/>
        <bgColor rgb="00FAF5EE"/>
      </patternFill>
    </fill>
  </fills>
  <borders count="7">
    <border>
      <left/>
      <right/>
      <top/>
      <bottom/>
      <diagonal/>
    </border>
    <border>
      <left style="thin">
        <color rgb="00DECDBB"/>
      </left>
      <right style="thin">
        <color rgb="00DECDBB"/>
      </right>
      <top style="thin">
        <color rgb="00DECDBB"/>
      </top>
      <bottom style="thin">
        <color rgb="00DECDBB"/>
      </bottom>
    </border>
    <border>
      <left style="thin">
        <color rgb="00DECDBB"/>
      </left>
      <right style="thin">
        <color rgb="00DECDBB"/>
      </right>
      <top style="thin">
        <color rgb="002B170F"/>
      </top>
      <bottom style="double">
        <color rgb="002B170F"/>
      </bottom>
    </border>
    <border>
      <left/>
      <right/>
      <top style="thin">
        <color rgb="002B170F"/>
      </top>
      <bottom/>
      <diagonal/>
    </border>
    <border>
      <left/>
      <right style="thin">
        <color rgb="00DECDBB"/>
      </right>
      <top style="thin">
        <color rgb="002B170F"/>
      </top>
      <bottom/>
      <diagonal/>
    </border>
    <border>
      <left/>
      <right/>
      <top style="thin">
        <color rgb="002B170F"/>
      </top>
      <bottom style="double">
        <color rgb="002B170F"/>
      </bottom>
      <diagonal/>
    </border>
    <border>
      <left/>
      <right style="thin">
        <color rgb="00DECDBB"/>
      </right>
      <top style="thin">
        <color rgb="002B170F"/>
      </top>
      <bottom style="double">
        <color rgb="002B170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3" fontId="11" fillId="8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9" fillId="8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3" fontId="14" fillId="6" borderId="2" applyAlignment="1" pivotButton="0" quotePrefix="0" xfId="0">
      <alignment horizontal="center" vertical="center" wrapText="1"/>
    </xf>
    <xf numFmtId="164" fontId="14" fillId="6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📊 REGISTRO DE PRODUCCIÓN Y SOBRANTES — SEPTIEMBRE 2026</t>
        </is>
      </c>
    </row>
    <row r="3">
      <c r="B3" s="2" t="inlineStr">
        <is>
          <t>Panadería Svetlana — Documento de recolección de datos históricos para inicializar el sistema de inventario y cierres.</t>
        </is>
      </c>
    </row>
    <row r="5">
      <c r="B5" s="3" t="inlineStr">
        <is>
          <t>1. Objetivo del Documento</t>
        </is>
      </c>
    </row>
    <row r="6">
      <c r="B6" s="4" t="inlineStr">
        <is>
          <t>Este archivo permite recopilar lo que se horneó y lo que sobró cada día durante el mes de Septiembre 2026.
Con estos datos, el sistema no empezará en cero: cargará el historial real de producción, el inventario inicial exacto para Octubre, y las estadísticas de venta y mermas por producto.</t>
        </is>
      </c>
    </row>
    <row r="7"/>
    <row r="8"/>
    <row r="10">
      <c r="B10" s="3" t="inlineStr">
        <is>
          <t>2. Estructura de las Hojas</t>
        </is>
      </c>
    </row>
    <row r="11">
      <c r="B11" s="4" t="inlineStr">
        <is>
          <t>• Pestaña 'Matriz_Diaria_Septiembre': Es una cuadrícula del 1 al 30 de Septiembre. Cada fila es un día y contiene columnas de [Horneado] y [Sobrante] para cada pan. Ideal para revisar el mes completo de un solo vistazo.
• Pestaña 'Carga_Detallada_Dia_a_Dia': Es la tabla estructurada fila por fila (Día x Pan). Incluye fórmulas automáticas para calcular: Venta en Piezas = Horneado - Sobrante, y el Total en Quetzales (Q).
• Pestaña 'Resumen_Consolidado_Mes': Calcula automáticamente los totales de todo el mes por pan: Total Horneado, Total Sobrante, Total Vendido, % de Efectividad y Quetzales generados.</t>
        </is>
      </c>
    </row>
    <row r="12"/>
    <row r="13"/>
    <row r="14"/>
    <row r="16">
      <c r="B16" s="3" t="inlineStr">
        <is>
          <t>3. Glosario de Términos</t>
        </is>
      </c>
    </row>
    <row r="17">
      <c r="B17" s="4" t="inlineStr">
        <is>
          <t>• Horneado (Piezas): Total de panes producidos en el día (puedes anotar directamente las piezas o multiplicar latas × unidades por lata).
• Sobrante (Cierre): Panes que quedaron en vitrinas o canastas al final del día sin venderse.
• Vendido = Horneado - Sobrante - Mermas (Se calcula automáticamente con fórmulas de Excel).
• Venta Estimada (Q): Se multiplica las unidades vendidas por el precio oficial en Quetzales.</t>
        </is>
      </c>
    </row>
    <row r="18"/>
    <row r="19"/>
    <row r="20"/>
    <row r="21"/>
    <row r="23">
      <c r="B23" s="3" t="inlineStr">
        <is>
          <t>4. ¿Cómo entregarlo?</t>
        </is>
      </c>
    </row>
    <row r="24">
      <c r="B24" s="4" t="inlineStr">
        <is>
          <t>Los dueños pueden rellenar los días de Septiembre según sus cuadernos o bitácoras de panadería. Si un día no se horneó algún producto (por ejemplo, donas los domingos), simplemente se coloca 0.</t>
        </is>
      </c>
    </row>
    <row r="25"/>
  </sheetData>
  <mergeCells count="6">
    <mergeCell ref="B3:J3"/>
    <mergeCell ref="B11:J14"/>
    <mergeCell ref="B24:J25"/>
    <mergeCell ref="B6:J8"/>
    <mergeCell ref="B17:J2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32" customHeight="1">
      <c r="A1" s="5" t="inlineStr">
        <is>
          <t>PANADERÍA SVETLANA — MATRIZ MENSUAL DE HORNEADO Y SOBRANTES (SEPTIEMBRE 2026)</t>
        </is>
      </c>
    </row>
    <row r="2">
      <c r="A2" s="6" t="inlineStr">
        <is>
          <t>DATOS DEL DÍA</t>
        </is>
      </c>
      <c r="D2" s="6" t="inlineStr">
        <is>
          <t>Pan Francés (Q0.50)</t>
        </is>
      </c>
      <c r="G2" s="6" t="inlineStr">
        <is>
          <t>Pan Dulce Pequeño (Q0.50)</t>
        </is>
      </c>
      <c r="J2" s="6" t="inlineStr">
        <is>
          <t>Pan Dulce Grande (Q1.25)</t>
        </is>
      </c>
      <c r="M2" s="6" t="inlineStr">
        <is>
          <t>Champurrada Grande (Q1.25)</t>
        </is>
      </c>
      <c r="P2" s="6" t="inlineStr">
        <is>
          <t>Champurrada Pequeña (Q0.50)</t>
        </is>
      </c>
      <c r="S2" s="6" t="inlineStr">
        <is>
          <t>Cubiletes (Q2.00)</t>
        </is>
      </c>
      <c r="V2" s="6" t="inlineStr">
        <is>
          <t>Empanadas (Q2.50)</t>
        </is>
      </c>
      <c r="Y2" s="6" t="inlineStr">
        <is>
          <t>Donas Variadas (Q2.50)</t>
        </is>
      </c>
      <c r="AB2" s="6" t="inlineStr">
        <is>
          <t>Otros Panes Dulces / Galletas</t>
        </is>
      </c>
      <c r="AE2" s="7" t="inlineStr">
        <is>
          <t>TOTALES DIARIOS CONSOLIDADOS</t>
        </is>
      </c>
    </row>
    <row r="3" ht="24" customHeight="1">
      <c r="A3" s="8" t="inlineStr">
        <is>
          <t>Fecha</t>
        </is>
      </c>
      <c r="B3" s="8" t="inlineStr">
        <is>
          <t>Día</t>
        </is>
      </c>
      <c r="C3" s="8" t="inlineStr">
        <is>
          <t>Sucursal</t>
        </is>
      </c>
      <c r="D3" s="8" t="inlineStr">
        <is>
          <t>Horneado</t>
        </is>
      </c>
      <c r="E3" s="9" t="inlineStr">
        <is>
          <t>Sobrante</t>
        </is>
      </c>
      <c r="F3" s="8" t="inlineStr">
        <is>
          <t>Vendido</t>
        </is>
      </c>
      <c r="G3" s="8" t="inlineStr">
        <is>
          <t>Horneado</t>
        </is>
      </c>
      <c r="H3" s="9" t="inlineStr">
        <is>
          <t>Sobrante</t>
        </is>
      </c>
      <c r="I3" s="8" t="inlineStr">
        <is>
          <t>Vendido</t>
        </is>
      </c>
      <c r="J3" s="8" t="inlineStr">
        <is>
          <t>Horneado</t>
        </is>
      </c>
      <c r="K3" s="9" t="inlineStr">
        <is>
          <t>Sobrante</t>
        </is>
      </c>
      <c r="L3" s="8" t="inlineStr">
        <is>
          <t>Vendido</t>
        </is>
      </c>
      <c r="M3" s="8" t="inlineStr">
        <is>
          <t>Horneado</t>
        </is>
      </c>
      <c r="N3" s="9" t="inlineStr">
        <is>
          <t>Sobrante</t>
        </is>
      </c>
      <c r="O3" s="8" t="inlineStr">
        <is>
          <t>Vendido</t>
        </is>
      </c>
      <c r="P3" s="8" t="inlineStr">
        <is>
          <t>Horneado</t>
        </is>
      </c>
      <c r="Q3" s="9" t="inlineStr">
        <is>
          <t>Sobrante</t>
        </is>
      </c>
      <c r="R3" s="8" t="inlineStr">
        <is>
          <t>Vendido</t>
        </is>
      </c>
      <c r="S3" s="8" t="inlineStr">
        <is>
          <t>Horneado</t>
        </is>
      </c>
      <c r="T3" s="9" t="inlineStr">
        <is>
          <t>Sobrante</t>
        </is>
      </c>
      <c r="U3" s="8" t="inlineStr">
        <is>
          <t>Vendido</t>
        </is>
      </c>
      <c r="V3" s="8" t="inlineStr">
        <is>
          <t>Horneado</t>
        </is>
      </c>
      <c r="W3" s="9" t="inlineStr">
        <is>
          <t>Sobrante</t>
        </is>
      </c>
      <c r="X3" s="8" t="inlineStr">
        <is>
          <t>Vendido</t>
        </is>
      </c>
      <c r="Y3" s="8" t="inlineStr">
        <is>
          <t>Horneado</t>
        </is>
      </c>
      <c r="Z3" s="9" t="inlineStr">
        <is>
          <t>Sobrante</t>
        </is>
      </c>
      <c r="AA3" s="8" t="inlineStr">
        <is>
          <t>Vendido</t>
        </is>
      </c>
      <c r="AB3" s="8" t="inlineStr">
        <is>
          <t>Horneado</t>
        </is>
      </c>
      <c r="AC3" s="9" t="inlineStr">
        <is>
          <t>Sobrante</t>
        </is>
      </c>
      <c r="AD3" s="8" t="inlineStr">
        <is>
          <t>Vendido</t>
        </is>
      </c>
      <c r="AE3" s="9" t="inlineStr">
        <is>
          <t>Total Horneado</t>
        </is>
      </c>
      <c r="AF3" s="9" t="inlineStr">
        <is>
          <t>Total Sobrante</t>
        </is>
      </c>
      <c r="AG3" s="9" t="inlineStr">
        <is>
          <t>Total Vendido</t>
        </is>
      </c>
      <c r="AH3" s="9" t="inlineStr">
        <is>
          <t>Venta Total (Q)</t>
        </is>
      </c>
    </row>
    <row r="4" ht="20" customHeight="1">
      <c r="A4" s="10" t="inlineStr">
        <is>
          <t>01/09/2026</t>
        </is>
      </c>
      <c r="B4" s="10" t="inlineStr">
        <is>
          <t>Martes</t>
        </is>
      </c>
      <c r="C4" s="11" t="inlineStr">
        <is>
          <t>Central</t>
        </is>
      </c>
      <c r="D4" s="12" t="n">
        <v>1188</v>
      </c>
      <c r="E4" s="13" t="n">
        <v>36</v>
      </c>
      <c r="F4" s="14">
        <f>MAX(0, D4-E4)</f>
        <v/>
      </c>
      <c r="G4" s="12" t="n">
        <v>600</v>
      </c>
      <c r="H4" s="13" t="n">
        <v>25</v>
      </c>
      <c r="I4" s="14">
        <f>MAX(0, G4-H4)</f>
        <v/>
      </c>
      <c r="J4" s="12" t="n">
        <v>300</v>
      </c>
      <c r="K4" s="13" t="n">
        <v>12</v>
      </c>
      <c r="L4" s="14">
        <f>MAX(0, J4-K4)</f>
        <v/>
      </c>
      <c r="M4" s="12" t="n">
        <v>150</v>
      </c>
      <c r="N4" s="13" t="n">
        <v>8</v>
      </c>
      <c r="O4" s="14">
        <f>MAX(0, M4-N4)</f>
        <v/>
      </c>
      <c r="P4" s="12" t="n">
        <v>240</v>
      </c>
      <c r="Q4" s="13" t="n">
        <v>15</v>
      </c>
      <c r="R4" s="14">
        <f>MAX(0, P4-Q4)</f>
        <v/>
      </c>
      <c r="S4" s="12" t="n">
        <v>120</v>
      </c>
      <c r="T4" s="13" t="n">
        <v>6</v>
      </c>
      <c r="U4" s="14">
        <f>MAX(0, S4-T4)</f>
        <v/>
      </c>
      <c r="V4" s="12" t="n">
        <v>96</v>
      </c>
      <c r="W4" s="13" t="n">
        <v>4</v>
      </c>
      <c r="X4" s="14">
        <f>MAX(0, V4-W4)</f>
        <v/>
      </c>
      <c r="Y4" s="12" t="n">
        <v>120</v>
      </c>
      <c r="Z4" s="13" t="n">
        <v>8</v>
      </c>
      <c r="AA4" s="14">
        <f>MAX(0, Y4-Z4)</f>
        <v/>
      </c>
      <c r="AB4" s="12" t="n">
        <v>200</v>
      </c>
      <c r="AC4" s="13" t="n">
        <v>10</v>
      </c>
      <c r="AD4" s="14">
        <f>MAX(0, AB4-AC4)</f>
        <v/>
      </c>
      <c r="AE4" s="15">
        <f>D4+G4+J4+M4+P4+S4+V4+Y4+AB4</f>
        <v/>
      </c>
      <c r="AF4" s="16">
        <f>E4+H4+K4+N4+Q4+T4+W4+Z4+AC4</f>
        <v/>
      </c>
      <c r="AG4" s="14">
        <f>F4+I4+L4+O4+R4+U4+X4+AA4+AD4</f>
        <v/>
      </c>
      <c r="AH4" s="17">
        <f>(F4*0.5) + (I4*0.5) + (L4*1.25) + (O4*1.25) + (R4*0.5) + (U4*2.0) + (X4*2.5) + (AA4*2.5) + (AD4*1.5)</f>
        <v/>
      </c>
    </row>
    <row r="5" ht="20" customHeight="1">
      <c r="A5" s="18" t="inlineStr">
        <is>
          <t>02/09/2026</t>
        </is>
      </c>
      <c r="B5" s="18" t="inlineStr">
        <is>
          <t>Miércoles</t>
        </is>
      </c>
      <c r="C5" s="19" t="inlineStr">
        <is>
          <t>Central</t>
        </is>
      </c>
      <c r="D5" s="20" t="n"/>
      <c r="E5" s="13" t="n"/>
      <c r="F5" s="14">
        <f>MAX(0, D5-E5)</f>
        <v/>
      </c>
      <c r="G5" s="20" t="n"/>
      <c r="H5" s="13" t="n"/>
      <c r="I5" s="14">
        <f>MAX(0, G5-H5)</f>
        <v/>
      </c>
      <c r="J5" s="20" t="n"/>
      <c r="K5" s="13" t="n"/>
      <c r="L5" s="14">
        <f>MAX(0, J5-K5)</f>
        <v/>
      </c>
      <c r="M5" s="20" t="n"/>
      <c r="N5" s="13" t="n"/>
      <c r="O5" s="14">
        <f>MAX(0, M5-N5)</f>
        <v/>
      </c>
      <c r="P5" s="20" t="n"/>
      <c r="Q5" s="13" t="n"/>
      <c r="R5" s="14">
        <f>MAX(0, P5-Q5)</f>
        <v/>
      </c>
      <c r="S5" s="20" t="n"/>
      <c r="T5" s="13" t="n"/>
      <c r="U5" s="14">
        <f>MAX(0, S5-T5)</f>
        <v/>
      </c>
      <c r="V5" s="20" t="n"/>
      <c r="W5" s="13" t="n"/>
      <c r="X5" s="14">
        <f>MAX(0, V5-W5)</f>
        <v/>
      </c>
      <c r="Y5" s="20" t="n"/>
      <c r="Z5" s="13" t="n"/>
      <c r="AA5" s="14">
        <f>MAX(0, Y5-Z5)</f>
        <v/>
      </c>
      <c r="AB5" s="20" t="n"/>
      <c r="AC5" s="13" t="n"/>
      <c r="AD5" s="14">
        <f>MAX(0, AB5-AC5)</f>
        <v/>
      </c>
      <c r="AE5" s="15">
        <f>D5+G5+J5+M5+P5+S5+V5+Y5+AB5</f>
        <v/>
      </c>
      <c r="AF5" s="16">
        <f>E5+H5+K5+N5+Q5+T5+W5+Z5+AC5</f>
        <v/>
      </c>
      <c r="AG5" s="14">
        <f>F5+I5+L5+O5+R5+U5+X5+AA5+AD5</f>
        <v/>
      </c>
      <c r="AH5" s="17">
        <f>(F5*0.5) + (I5*0.5) + (L5*1.25) + (O5*1.25) + (R5*0.5) + (U5*2.0) + (X5*2.5) + (AA5*2.5) + (AD5*1.5)</f>
        <v/>
      </c>
    </row>
    <row r="6" ht="20" customHeight="1">
      <c r="A6" s="10" t="inlineStr">
        <is>
          <t>03/09/2026</t>
        </is>
      </c>
      <c r="B6" s="10" t="inlineStr">
        <is>
          <t>Jueves</t>
        </is>
      </c>
      <c r="C6" s="11" t="inlineStr">
        <is>
          <t>Central</t>
        </is>
      </c>
      <c r="D6" s="12" t="n"/>
      <c r="E6" s="13" t="n"/>
      <c r="F6" s="14">
        <f>MAX(0, D6-E6)</f>
        <v/>
      </c>
      <c r="G6" s="12" t="n"/>
      <c r="H6" s="13" t="n"/>
      <c r="I6" s="14">
        <f>MAX(0, G6-H6)</f>
        <v/>
      </c>
      <c r="J6" s="12" t="n"/>
      <c r="K6" s="13" t="n"/>
      <c r="L6" s="14">
        <f>MAX(0, J6-K6)</f>
        <v/>
      </c>
      <c r="M6" s="12" t="n"/>
      <c r="N6" s="13" t="n"/>
      <c r="O6" s="14">
        <f>MAX(0, M6-N6)</f>
        <v/>
      </c>
      <c r="P6" s="12" t="n"/>
      <c r="Q6" s="13" t="n"/>
      <c r="R6" s="14">
        <f>MAX(0, P6-Q6)</f>
        <v/>
      </c>
      <c r="S6" s="12" t="n"/>
      <c r="T6" s="13" t="n"/>
      <c r="U6" s="14">
        <f>MAX(0, S6-T6)</f>
        <v/>
      </c>
      <c r="V6" s="12" t="n"/>
      <c r="W6" s="13" t="n"/>
      <c r="X6" s="14">
        <f>MAX(0, V6-W6)</f>
        <v/>
      </c>
      <c r="Y6" s="12" t="n"/>
      <c r="Z6" s="13" t="n"/>
      <c r="AA6" s="14">
        <f>MAX(0, Y6-Z6)</f>
        <v/>
      </c>
      <c r="AB6" s="12" t="n"/>
      <c r="AC6" s="13" t="n"/>
      <c r="AD6" s="14">
        <f>MAX(0, AB6-AC6)</f>
        <v/>
      </c>
      <c r="AE6" s="15">
        <f>D6+G6+J6+M6+P6+S6+V6+Y6+AB6</f>
        <v/>
      </c>
      <c r="AF6" s="16">
        <f>E6+H6+K6+N6+Q6+T6+W6+Z6+AC6</f>
        <v/>
      </c>
      <c r="AG6" s="14">
        <f>F6+I6+L6+O6+R6+U6+X6+AA6+AD6</f>
        <v/>
      </c>
      <c r="AH6" s="17">
        <f>(F6*0.5) + (I6*0.5) + (L6*1.25) + (O6*1.25) + (R6*0.5) + (U6*2.0) + (X6*2.5) + (AA6*2.5) + (AD6*1.5)</f>
        <v/>
      </c>
    </row>
    <row r="7" ht="20" customHeight="1">
      <c r="A7" s="18" t="inlineStr">
        <is>
          <t>04/09/2026</t>
        </is>
      </c>
      <c r="B7" s="18" t="inlineStr">
        <is>
          <t>Viernes</t>
        </is>
      </c>
      <c r="C7" s="19" t="inlineStr">
        <is>
          <t>Central</t>
        </is>
      </c>
      <c r="D7" s="20" t="n"/>
      <c r="E7" s="13" t="n"/>
      <c r="F7" s="14">
        <f>MAX(0, D7-E7)</f>
        <v/>
      </c>
      <c r="G7" s="20" t="n"/>
      <c r="H7" s="13" t="n"/>
      <c r="I7" s="14">
        <f>MAX(0, G7-H7)</f>
        <v/>
      </c>
      <c r="J7" s="20" t="n"/>
      <c r="K7" s="13" t="n"/>
      <c r="L7" s="14">
        <f>MAX(0, J7-K7)</f>
        <v/>
      </c>
      <c r="M7" s="20" t="n"/>
      <c r="N7" s="13" t="n"/>
      <c r="O7" s="14">
        <f>MAX(0, M7-N7)</f>
        <v/>
      </c>
      <c r="P7" s="20" t="n"/>
      <c r="Q7" s="13" t="n"/>
      <c r="R7" s="14">
        <f>MAX(0, P7-Q7)</f>
        <v/>
      </c>
      <c r="S7" s="20" t="n"/>
      <c r="T7" s="13" t="n"/>
      <c r="U7" s="14">
        <f>MAX(0, S7-T7)</f>
        <v/>
      </c>
      <c r="V7" s="20" t="n"/>
      <c r="W7" s="13" t="n"/>
      <c r="X7" s="14">
        <f>MAX(0, V7-W7)</f>
        <v/>
      </c>
      <c r="Y7" s="20" t="n"/>
      <c r="Z7" s="13" t="n"/>
      <c r="AA7" s="14">
        <f>MAX(0, Y7-Z7)</f>
        <v/>
      </c>
      <c r="AB7" s="20" t="n"/>
      <c r="AC7" s="13" t="n"/>
      <c r="AD7" s="14">
        <f>MAX(0, AB7-AC7)</f>
        <v/>
      </c>
      <c r="AE7" s="15">
        <f>D7+G7+J7+M7+P7+S7+V7+Y7+AB7</f>
        <v/>
      </c>
      <c r="AF7" s="16">
        <f>E7+H7+K7+N7+Q7+T7+W7+Z7+AC7</f>
        <v/>
      </c>
      <c r="AG7" s="14">
        <f>F7+I7+L7+O7+R7+U7+X7+AA7+AD7</f>
        <v/>
      </c>
      <c r="AH7" s="17">
        <f>(F7*0.5) + (I7*0.5) + (L7*1.25) + (O7*1.25) + (R7*0.5) + (U7*2.0) + (X7*2.5) + (AA7*2.5) + (AD7*1.5)</f>
        <v/>
      </c>
    </row>
    <row r="8" ht="20" customHeight="1">
      <c r="A8" s="10" t="inlineStr">
        <is>
          <t>05/09/2026</t>
        </is>
      </c>
      <c r="B8" s="10" t="inlineStr">
        <is>
          <t>Sábado</t>
        </is>
      </c>
      <c r="C8" s="11" t="inlineStr">
        <is>
          <t>Central</t>
        </is>
      </c>
      <c r="D8" s="12" t="n"/>
      <c r="E8" s="13" t="n"/>
      <c r="F8" s="14">
        <f>MAX(0, D8-E8)</f>
        <v/>
      </c>
      <c r="G8" s="12" t="n"/>
      <c r="H8" s="13" t="n"/>
      <c r="I8" s="14">
        <f>MAX(0, G8-H8)</f>
        <v/>
      </c>
      <c r="J8" s="12" t="n"/>
      <c r="K8" s="13" t="n"/>
      <c r="L8" s="14">
        <f>MAX(0, J8-K8)</f>
        <v/>
      </c>
      <c r="M8" s="12" t="n"/>
      <c r="N8" s="13" t="n"/>
      <c r="O8" s="14">
        <f>MAX(0, M8-N8)</f>
        <v/>
      </c>
      <c r="P8" s="12" t="n"/>
      <c r="Q8" s="13" t="n"/>
      <c r="R8" s="14">
        <f>MAX(0, P8-Q8)</f>
        <v/>
      </c>
      <c r="S8" s="12" t="n"/>
      <c r="T8" s="13" t="n"/>
      <c r="U8" s="14">
        <f>MAX(0, S8-T8)</f>
        <v/>
      </c>
      <c r="V8" s="12" t="n"/>
      <c r="W8" s="13" t="n"/>
      <c r="X8" s="14">
        <f>MAX(0, V8-W8)</f>
        <v/>
      </c>
      <c r="Y8" s="12" t="n"/>
      <c r="Z8" s="13" t="n"/>
      <c r="AA8" s="14">
        <f>MAX(0, Y8-Z8)</f>
        <v/>
      </c>
      <c r="AB8" s="12" t="n"/>
      <c r="AC8" s="13" t="n"/>
      <c r="AD8" s="14">
        <f>MAX(0, AB8-AC8)</f>
        <v/>
      </c>
      <c r="AE8" s="15">
        <f>D8+G8+J8+M8+P8+S8+V8+Y8+AB8</f>
        <v/>
      </c>
      <c r="AF8" s="16">
        <f>E8+H8+K8+N8+Q8+T8+W8+Z8+AC8</f>
        <v/>
      </c>
      <c r="AG8" s="14">
        <f>F8+I8+L8+O8+R8+U8+X8+AA8+AD8</f>
        <v/>
      </c>
      <c r="AH8" s="17">
        <f>(F8*0.5) + (I8*0.5) + (L8*1.25) + (O8*1.25) + (R8*0.5) + (U8*2.0) + (X8*2.5) + (AA8*2.5) + (AD8*1.5)</f>
        <v/>
      </c>
    </row>
    <row r="9" ht="20" customHeight="1">
      <c r="A9" s="21" t="inlineStr">
        <is>
          <t>06/09/2026</t>
        </is>
      </c>
      <c r="B9" s="21" t="inlineStr">
        <is>
          <t>Domingo</t>
        </is>
      </c>
      <c r="C9" s="22" t="inlineStr">
        <is>
          <t>Central</t>
        </is>
      </c>
      <c r="D9" s="23" t="n"/>
      <c r="E9" s="24" t="n"/>
      <c r="F9" s="25">
        <f>MAX(0, D9-E9)</f>
        <v/>
      </c>
      <c r="G9" s="23" t="n"/>
      <c r="H9" s="24" t="n"/>
      <c r="I9" s="25">
        <f>MAX(0, G9-H9)</f>
        <v/>
      </c>
      <c r="J9" s="23" t="n"/>
      <c r="K9" s="24" t="n"/>
      <c r="L9" s="25">
        <f>MAX(0, J9-K9)</f>
        <v/>
      </c>
      <c r="M9" s="23" t="n"/>
      <c r="N9" s="24" t="n"/>
      <c r="O9" s="25">
        <f>MAX(0, M9-N9)</f>
        <v/>
      </c>
      <c r="P9" s="23" t="n"/>
      <c r="Q9" s="24" t="n"/>
      <c r="R9" s="25">
        <f>MAX(0, P9-Q9)</f>
        <v/>
      </c>
      <c r="S9" s="23" t="n"/>
      <c r="T9" s="24" t="n"/>
      <c r="U9" s="25">
        <f>MAX(0, S9-T9)</f>
        <v/>
      </c>
      <c r="V9" s="23" t="n"/>
      <c r="W9" s="24" t="n"/>
      <c r="X9" s="25">
        <f>MAX(0, V9-W9)</f>
        <v/>
      </c>
      <c r="Y9" s="23" t="n"/>
      <c r="Z9" s="24" t="n"/>
      <c r="AA9" s="25">
        <f>MAX(0, Y9-Z9)</f>
        <v/>
      </c>
      <c r="AB9" s="23" t="n"/>
      <c r="AC9" s="24" t="n"/>
      <c r="AD9" s="25">
        <f>MAX(0, AB9-AC9)</f>
        <v/>
      </c>
      <c r="AE9" s="15">
        <f>D9+G9+J9+M9+P9+S9+V9+Y9+AB9</f>
        <v/>
      </c>
      <c r="AF9" s="16">
        <f>E9+H9+K9+N9+Q9+T9+W9+Z9+AC9</f>
        <v/>
      </c>
      <c r="AG9" s="14">
        <f>F9+I9+L9+O9+R9+U9+X9+AA9+AD9</f>
        <v/>
      </c>
      <c r="AH9" s="17">
        <f>(F9*0.5) + (I9*0.5) + (L9*1.25) + (O9*1.25) + (R9*0.5) + (U9*2.0) + (X9*2.5) + (AA9*2.5) + (AD9*1.5)</f>
        <v/>
      </c>
    </row>
    <row r="10" ht="20" customHeight="1">
      <c r="A10" s="10" t="inlineStr">
        <is>
          <t>07/09/2026</t>
        </is>
      </c>
      <c r="B10" s="10" t="inlineStr">
        <is>
          <t>Lunes</t>
        </is>
      </c>
      <c r="C10" s="11" t="inlineStr">
        <is>
          <t>Central</t>
        </is>
      </c>
      <c r="D10" s="12" t="n"/>
      <c r="E10" s="13" t="n"/>
      <c r="F10" s="14">
        <f>MAX(0, D10-E10)</f>
        <v/>
      </c>
      <c r="G10" s="12" t="n"/>
      <c r="H10" s="13" t="n"/>
      <c r="I10" s="14">
        <f>MAX(0, G10-H10)</f>
        <v/>
      </c>
      <c r="J10" s="12" t="n"/>
      <c r="K10" s="13" t="n"/>
      <c r="L10" s="14">
        <f>MAX(0, J10-K10)</f>
        <v/>
      </c>
      <c r="M10" s="12" t="n"/>
      <c r="N10" s="13" t="n"/>
      <c r="O10" s="14">
        <f>MAX(0, M10-N10)</f>
        <v/>
      </c>
      <c r="P10" s="12" t="n"/>
      <c r="Q10" s="13" t="n"/>
      <c r="R10" s="14">
        <f>MAX(0, P10-Q10)</f>
        <v/>
      </c>
      <c r="S10" s="12" t="n"/>
      <c r="T10" s="13" t="n"/>
      <c r="U10" s="14">
        <f>MAX(0, S10-T10)</f>
        <v/>
      </c>
      <c r="V10" s="12" t="n"/>
      <c r="W10" s="13" t="n"/>
      <c r="X10" s="14">
        <f>MAX(0, V10-W10)</f>
        <v/>
      </c>
      <c r="Y10" s="12" t="n"/>
      <c r="Z10" s="13" t="n"/>
      <c r="AA10" s="14">
        <f>MAX(0, Y10-Z10)</f>
        <v/>
      </c>
      <c r="AB10" s="12" t="n"/>
      <c r="AC10" s="13" t="n"/>
      <c r="AD10" s="14">
        <f>MAX(0, AB10-AC10)</f>
        <v/>
      </c>
      <c r="AE10" s="15">
        <f>D10+G10+J10+M10+P10+S10+V10+Y10+AB10</f>
        <v/>
      </c>
      <c r="AF10" s="16">
        <f>E10+H10+K10+N10+Q10+T10+W10+Z10+AC10</f>
        <v/>
      </c>
      <c r="AG10" s="14">
        <f>F10+I10+L10+O10+R10+U10+X10+AA10+AD10</f>
        <v/>
      </c>
      <c r="AH10" s="17">
        <f>(F10*0.5) + (I10*0.5) + (L10*1.25) + (O10*1.25) + (R10*0.5) + (U10*2.0) + (X10*2.5) + (AA10*2.5) + (AD10*1.5)</f>
        <v/>
      </c>
    </row>
    <row r="11" ht="20" customHeight="1">
      <c r="A11" s="18" t="inlineStr">
        <is>
          <t>08/09/2026</t>
        </is>
      </c>
      <c r="B11" s="18" t="inlineStr">
        <is>
          <t>Martes</t>
        </is>
      </c>
      <c r="C11" s="19" t="inlineStr">
        <is>
          <t>Central</t>
        </is>
      </c>
      <c r="D11" s="20" t="n"/>
      <c r="E11" s="13" t="n"/>
      <c r="F11" s="14">
        <f>MAX(0, D11-E11)</f>
        <v/>
      </c>
      <c r="G11" s="20" t="n"/>
      <c r="H11" s="13" t="n"/>
      <c r="I11" s="14">
        <f>MAX(0, G11-H11)</f>
        <v/>
      </c>
      <c r="J11" s="20" t="n"/>
      <c r="K11" s="13" t="n"/>
      <c r="L11" s="14">
        <f>MAX(0, J11-K11)</f>
        <v/>
      </c>
      <c r="M11" s="20" t="n"/>
      <c r="N11" s="13" t="n"/>
      <c r="O11" s="14">
        <f>MAX(0, M11-N11)</f>
        <v/>
      </c>
      <c r="P11" s="20" t="n"/>
      <c r="Q11" s="13" t="n"/>
      <c r="R11" s="14">
        <f>MAX(0, P11-Q11)</f>
        <v/>
      </c>
      <c r="S11" s="20" t="n"/>
      <c r="T11" s="13" t="n"/>
      <c r="U11" s="14">
        <f>MAX(0, S11-T11)</f>
        <v/>
      </c>
      <c r="V11" s="20" t="n"/>
      <c r="W11" s="13" t="n"/>
      <c r="X11" s="14">
        <f>MAX(0, V11-W11)</f>
        <v/>
      </c>
      <c r="Y11" s="20" t="n"/>
      <c r="Z11" s="13" t="n"/>
      <c r="AA11" s="14">
        <f>MAX(0, Y11-Z11)</f>
        <v/>
      </c>
      <c r="AB11" s="20" t="n"/>
      <c r="AC11" s="13" t="n"/>
      <c r="AD11" s="14">
        <f>MAX(0, AB11-AC11)</f>
        <v/>
      </c>
      <c r="AE11" s="15">
        <f>D11+G11+J11+M11+P11+S11+V11+Y11+AB11</f>
        <v/>
      </c>
      <c r="AF11" s="16">
        <f>E11+H11+K11+N11+Q11+T11+W11+Z11+AC11</f>
        <v/>
      </c>
      <c r="AG11" s="14">
        <f>F11+I11+L11+O11+R11+U11+X11+AA11+AD11</f>
        <v/>
      </c>
      <c r="AH11" s="17">
        <f>(F11*0.5) + (I11*0.5) + (L11*1.25) + (O11*1.25) + (R11*0.5) + (U11*2.0) + (X11*2.5) + (AA11*2.5) + (AD11*1.5)</f>
        <v/>
      </c>
    </row>
    <row r="12" ht="20" customHeight="1">
      <c r="A12" s="10" t="inlineStr">
        <is>
          <t>09/09/2026</t>
        </is>
      </c>
      <c r="B12" s="10" t="inlineStr">
        <is>
          <t>Miércoles</t>
        </is>
      </c>
      <c r="C12" s="11" t="inlineStr">
        <is>
          <t>Central</t>
        </is>
      </c>
      <c r="D12" s="12" t="n"/>
      <c r="E12" s="13" t="n"/>
      <c r="F12" s="14">
        <f>MAX(0, D12-E12)</f>
        <v/>
      </c>
      <c r="G12" s="12" t="n"/>
      <c r="H12" s="13" t="n"/>
      <c r="I12" s="14">
        <f>MAX(0, G12-H12)</f>
        <v/>
      </c>
      <c r="J12" s="12" t="n"/>
      <c r="K12" s="13" t="n"/>
      <c r="L12" s="14">
        <f>MAX(0, J12-K12)</f>
        <v/>
      </c>
      <c r="M12" s="12" t="n"/>
      <c r="N12" s="13" t="n"/>
      <c r="O12" s="14">
        <f>MAX(0, M12-N12)</f>
        <v/>
      </c>
      <c r="P12" s="12" t="n"/>
      <c r="Q12" s="13" t="n"/>
      <c r="R12" s="14">
        <f>MAX(0, P12-Q12)</f>
        <v/>
      </c>
      <c r="S12" s="12" t="n"/>
      <c r="T12" s="13" t="n"/>
      <c r="U12" s="14">
        <f>MAX(0, S12-T12)</f>
        <v/>
      </c>
      <c r="V12" s="12" t="n"/>
      <c r="W12" s="13" t="n"/>
      <c r="X12" s="14">
        <f>MAX(0, V12-W12)</f>
        <v/>
      </c>
      <c r="Y12" s="12" t="n"/>
      <c r="Z12" s="13" t="n"/>
      <c r="AA12" s="14">
        <f>MAX(0, Y12-Z12)</f>
        <v/>
      </c>
      <c r="AB12" s="12" t="n"/>
      <c r="AC12" s="13" t="n"/>
      <c r="AD12" s="14">
        <f>MAX(0, AB12-AC12)</f>
        <v/>
      </c>
      <c r="AE12" s="15">
        <f>D12+G12+J12+M12+P12+S12+V12+Y12+AB12</f>
        <v/>
      </c>
      <c r="AF12" s="16">
        <f>E12+H12+K12+N12+Q12+T12+W12+Z12+AC12</f>
        <v/>
      </c>
      <c r="AG12" s="14">
        <f>F12+I12+L12+O12+R12+U12+X12+AA12+AD12</f>
        <v/>
      </c>
      <c r="AH12" s="17">
        <f>(F12*0.5) + (I12*0.5) + (L12*1.25) + (O12*1.25) + (R12*0.5) + (U12*2.0) + (X12*2.5) + (AA12*2.5) + (AD12*1.5)</f>
        <v/>
      </c>
    </row>
    <row r="13" ht="20" customHeight="1">
      <c r="A13" s="18" t="inlineStr">
        <is>
          <t>10/09/2026</t>
        </is>
      </c>
      <c r="B13" s="18" t="inlineStr">
        <is>
          <t>Jueves</t>
        </is>
      </c>
      <c r="C13" s="19" t="inlineStr">
        <is>
          <t>Central</t>
        </is>
      </c>
      <c r="D13" s="20" t="n"/>
      <c r="E13" s="13" t="n"/>
      <c r="F13" s="14">
        <f>MAX(0, D13-E13)</f>
        <v/>
      </c>
      <c r="G13" s="20" t="n"/>
      <c r="H13" s="13" t="n"/>
      <c r="I13" s="14">
        <f>MAX(0, G13-H13)</f>
        <v/>
      </c>
      <c r="J13" s="20" t="n"/>
      <c r="K13" s="13" t="n"/>
      <c r="L13" s="14">
        <f>MAX(0, J13-K13)</f>
        <v/>
      </c>
      <c r="M13" s="20" t="n"/>
      <c r="N13" s="13" t="n"/>
      <c r="O13" s="14">
        <f>MAX(0, M13-N13)</f>
        <v/>
      </c>
      <c r="P13" s="20" t="n"/>
      <c r="Q13" s="13" t="n"/>
      <c r="R13" s="14">
        <f>MAX(0, P13-Q13)</f>
        <v/>
      </c>
      <c r="S13" s="20" t="n"/>
      <c r="T13" s="13" t="n"/>
      <c r="U13" s="14">
        <f>MAX(0, S13-T13)</f>
        <v/>
      </c>
      <c r="V13" s="20" t="n"/>
      <c r="W13" s="13" t="n"/>
      <c r="X13" s="14">
        <f>MAX(0, V13-W13)</f>
        <v/>
      </c>
      <c r="Y13" s="20" t="n"/>
      <c r="Z13" s="13" t="n"/>
      <c r="AA13" s="14">
        <f>MAX(0, Y13-Z13)</f>
        <v/>
      </c>
      <c r="AB13" s="20" t="n"/>
      <c r="AC13" s="13" t="n"/>
      <c r="AD13" s="14">
        <f>MAX(0, AB13-AC13)</f>
        <v/>
      </c>
      <c r="AE13" s="15">
        <f>D13+G13+J13+M13+P13+S13+V13+Y13+AB13</f>
        <v/>
      </c>
      <c r="AF13" s="16">
        <f>E13+H13+K13+N13+Q13+T13+W13+Z13+AC13</f>
        <v/>
      </c>
      <c r="AG13" s="14">
        <f>F13+I13+L13+O13+R13+U13+X13+AA13+AD13</f>
        <v/>
      </c>
      <c r="AH13" s="17">
        <f>(F13*0.5) + (I13*0.5) + (L13*1.25) + (O13*1.25) + (R13*0.5) + (U13*2.0) + (X13*2.5) + (AA13*2.5) + (AD13*1.5)</f>
        <v/>
      </c>
    </row>
    <row r="14" ht="20" customHeight="1">
      <c r="A14" s="10" t="inlineStr">
        <is>
          <t>11/09/2026</t>
        </is>
      </c>
      <c r="B14" s="10" t="inlineStr">
        <is>
          <t>Viernes</t>
        </is>
      </c>
      <c r="C14" s="11" t="inlineStr">
        <is>
          <t>Central</t>
        </is>
      </c>
      <c r="D14" s="12" t="n"/>
      <c r="E14" s="13" t="n"/>
      <c r="F14" s="14">
        <f>MAX(0, D14-E14)</f>
        <v/>
      </c>
      <c r="G14" s="12" t="n"/>
      <c r="H14" s="13" t="n"/>
      <c r="I14" s="14">
        <f>MAX(0, G14-H14)</f>
        <v/>
      </c>
      <c r="J14" s="12" t="n"/>
      <c r="K14" s="13" t="n"/>
      <c r="L14" s="14">
        <f>MAX(0, J14-K14)</f>
        <v/>
      </c>
      <c r="M14" s="12" t="n"/>
      <c r="N14" s="13" t="n"/>
      <c r="O14" s="14">
        <f>MAX(0, M14-N14)</f>
        <v/>
      </c>
      <c r="P14" s="12" t="n"/>
      <c r="Q14" s="13" t="n"/>
      <c r="R14" s="14">
        <f>MAX(0, P14-Q14)</f>
        <v/>
      </c>
      <c r="S14" s="12" t="n"/>
      <c r="T14" s="13" t="n"/>
      <c r="U14" s="14">
        <f>MAX(0, S14-T14)</f>
        <v/>
      </c>
      <c r="V14" s="12" t="n"/>
      <c r="W14" s="13" t="n"/>
      <c r="X14" s="14">
        <f>MAX(0, V14-W14)</f>
        <v/>
      </c>
      <c r="Y14" s="12" t="n"/>
      <c r="Z14" s="13" t="n"/>
      <c r="AA14" s="14">
        <f>MAX(0, Y14-Z14)</f>
        <v/>
      </c>
      <c r="AB14" s="12" t="n"/>
      <c r="AC14" s="13" t="n"/>
      <c r="AD14" s="14">
        <f>MAX(0, AB14-AC14)</f>
        <v/>
      </c>
      <c r="AE14" s="15">
        <f>D14+G14+J14+M14+P14+S14+V14+Y14+AB14</f>
        <v/>
      </c>
      <c r="AF14" s="16">
        <f>E14+H14+K14+N14+Q14+T14+W14+Z14+AC14</f>
        <v/>
      </c>
      <c r="AG14" s="14">
        <f>F14+I14+L14+O14+R14+U14+X14+AA14+AD14</f>
        <v/>
      </c>
      <c r="AH14" s="17">
        <f>(F14*0.5) + (I14*0.5) + (L14*1.25) + (O14*1.25) + (R14*0.5) + (U14*2.0) + (X14*2.5) + (AA14*2.5) + (AD14*1.5)</f>
        <v/>
      </c>
    </row>
    <row r="15" ht="20" customHeight="1">
      <c r="A15" s="18" t="inlineStr">
        <is>
          <t>12/09/2026</t>
        </is>
      </c>
      <c r="B15" s="18" t="inlineStr">
        <is>
          <t>Sábado</t>
        </is>
      </c>
      <c r="C15" s="19" t="inlineStr">
        <is>
          <t>Central</t>
        </is>
      </c>
      <c r="D15" s="20" t="n"/>
      <c r="E15" s="13" t="n"/>
      <c r="F15" s="14">
        <f>MAX(0, D15-E15)</f>
        <v/>
      </c>
      <c r="G15" s="20" t="n"/>
      <c r="H15" s="13" t="n"/>
      <c r="I15" s="14">
        <f>MAX(0, G15-H15)</f>
        <v/>
      </c>
      <c r="J15" s="20" t="n"/>
      <c r="K15" s="13" t="n"/>
      <c r="L15" s="14">
        <f>MAX(0, J15-K15)</f>
        <v/>
      </c>
      <c r="M15" s="20" t="n"/>
      <c r="N15" s="13" t="n"/>
      <c r="O15" s="14">
        <f>MAX(0, M15-N15)</f>
        <v/>
      </c>
      <c r="P15" s="20" t="n"/>
      <c r="Q15" s="13" t="n"/>
      <c r="R15" s="14">
        <f>MAX(0, P15-Q15)</f>
        <v/>
      </c>
      <c r="S15" s="20" t="n"/>
      <c r="T15" s="13" t="n"/>
      <c r="U15" s="14">
        <f>MAX(0, S15-T15)</f>
        <v/>
      </c>
      <c r="V15" s="20" t="n"/>
      <c r="W15" s="13" t="n"/>
      <c r="X15" s="14">
        <f>MAX(0, V15-W15)</f>
        <v/>
      </c>
      <c r="Y15" s="20" t="n"/>
      <c r="Z15" s="13" t="n"/>
      <c r="AA15" s="14">
        <f>MAX(0, Y15-Z15)</f>
        <v/>
      </c>
      <c r="AB15" s="20" t="n"/>
      <c r="AC15" s="13" t="n"/>
      <c r="AD15" s="14">
        <f>MAX(0, AB15-AC15)</f>
        <v/>
      </c>
      <c r="AE15" s="15">
        <f>D15+G15+J15+M15+P15+S15+V15+Y15+AB15</f>
        <v/>
      </c>
      <c r="AF15" s="16">
        <f>E15+H15+K15+N15+Q15+T15+W15+Z15+AC15</f>
        <v/>
      </c>
      <c r="AG15" s="14">
        <f>F15+I15+L15+O15+R15+U15+X15+AA15+AD15</f>
        <v/>
      </c>
      <c r="AH15" s="17">
        <f>(F15*0.5) + (I15*0.5) + (L15*1.25) + (O15*1.25) + (R15*0.5) + (U15*2.0) + (X15*2.5) + (AA15*2.5) + (AD15*1.5)</f>
        <v/>
      </c>
    </row>
    <row r="16" ht="20" customHeight="1">
      <c r="A16" s="21" t="inlineStr">
        <is>
          <t>13/09/2026</t>
        </is>
      </c>
      <c r="B16" s="21" t="inlineStr">
        <is>
          <t>Domingo</t>
        </is>
      </c>
      <c r="C16" s="22" t="inlineStr">
        <is>
          <t>Central</t>
        </is>
      </c>
      <c r="D16" s="23" t="n"/>
      <c r="E16" s="24" t="n"/>
      <c r="F16" s="25">
        <f>MAX(0, D16-E16)</f>
        <v/>
      </c>
      <c r="G16" s="23" t="n"/>
      <c r="H16" s="24" t="n"/>
      <c r="I16" s="25">
        <f>MAX(0, G16-H16)</f>
        <v/>
      </c>
      <c r="J16" s="23" t="n"/>
      <c r="K16" s="24" t="n"/>
      <c r="L16" s="25">
        <f>MAX(0, J16-K16)</f>
        <v/>
      </c>
      <c r="M16" s="23" t="n"/>
      <c r="N16" s="24" t="n"/>
      <c r="O16" s="25">
        <f>MAX(0, M16-N16)</f>
        <v/>
      </c>
      <c r="P16" s="23" t="n"/>
      <c r="Q16" s="24" t="n"/>
      <c r="R16" s="25">
        <f>MAX(0, P16-Q16)</f>
        <v/>
      </c>
      <c r="S16" s="23" t="n"/>
      <c r="T16" s="24" t="n"/>
      <c r="U16" s="25">
        <f>MAX(0, S16-T16)</f>
        <v/>
      </c>
      <c r="V16" s="23" t="n"/>
      <c r="W16" s="24" t="n"/>
      <c r="X16" s="25">
        <f>MAX(0, V16-W16)</f>
        <v/>
      </c>
      <c r="Y16" s="23" t="n"/>
      <c r="Z16" s="24" t="n"/>
      <c r="AA16" s="25">
        <f>MAX(0, Y16-Z16)</f>
        <v/>
      </c>
      <c r="AB16" s="23" t="n"/>
      <c r="AC16" s="24" t="n"/>
      <c r="AD16" s="25">
        <f>MAX(0, AB16-AC16)</f>
        <v/>
      </c>
      <c r="AE16" s="15">
        <f>D16+G16+J16+M16+P16+S16+V16+Y16+AB16</f>
        <v/>
      </c>
      <c r="AF16" s="16">
        <f>E16+H16+K16+N16+Q16+T16+W16+Z16+AC16</f>
        <v/>
      </c>
      <c r="AG16" s="14">
        <f>F16+I16+L16+O16+R16+U16+X16+AA16+AD16</f>
        <v/>
      </c>
      <c r="AH16" s="17">
        <f>(F16*0.5) + (I16*0.5) + (L16*1.25) + (O16*1.25) + (R16*0.5) + (U16*2.0) + (X16*2.5) + (AA16*2.5) + (AD16*1.5)</f>
        <v/>
      </c>
    </row>
    <row r="17" ht="20" customHeight="1">
      <c r="A17" s="18" t="inlineStr">
        <is>
          <t>14/09/2026</t>
        </is>
      </c>
      <c r="B17" s="18" t="inlineStr">
        <is>
          <t>Lunes</t>
        </is>
      </c>
      <c r="C17" s="19" t="inlineStr">
        <is>
          <t>Central</t>
        </is>
      </c>
      <c r="D17" s="20" t="n"/>
      <c r="E17" s="13" t="n"/>
      <c r="F17" s="14">
        <f>MAX(0, D17-E17)</f>
        <v/>
      </c>
      <c r="G17" s="20" t="n"/>
      <c r="H17" s="13" t="n"/>
      <c r="I17" s="14">
        <f>MAX(0, G17-H17)</f>
        <v/>
      </c>
      <c r="J17" s="20" t="n"/>
      <c r="K17" s="13" t="n"/>
      <c r="L17" s="14">
        <f>MAX(0, J17-K17)</f>
        <v/>
      </c>
      <c r="M17" s="20" t="n"/>
      <c r="N17" s="13" t="n"/>
      <c r="O17" s="14">
        <f>MAX(0, M17-N17)</f>
        <v/>
      </c>
      <c r="P17" s="20" t="n"/>
      <c r="Q17" s="13" t="n"/>
      <c r="R17" s="14">
        <f>MAX(0, P17-Q17)</f>
        <v/>
      </c>
      <c r="S17" s="20" t="n"/>
      <c r="T17" s="13" t="n"/>
      <c r="U17" s="14">
        <f>MAX(0, S17-T17)</f>
        <v/>
      </c>
      <c r="V17" s="20" t="n"/>
      <c r="W17" s="13" t="n"/>
      <c r="X17" s="14">
        <f>MAX(0, V17-W17)</f>
        <v/>
      </c>
      <c r="Y17" s="20" t="n"/>
      <c r="Z17" s="13" t="n"/>
      <c r="AA17" s="14">
        <f>MAX(0, Y17-Z17)</f>
        <v/>
      </c>
      <c r="AB17" s="20" t="n"/>
      <c r="AC17" s="13" t="n"/>
      <c r="AD17" s="14">
        <f>MAX(0, AB17-AC17)</f>
        <v/>
      </c>
      <c r="AE17" s="15">
        <f>D17+G17+J17+M17+P17+S17+V17+Y17+AB17</f>
        <v/>
      </c>
      <c r="AF17" s="16">
        <f>E17+H17+K17+N17+Q17+T17+W17+Z17+AC17</f>
        <v/>
      </c>
      <c r="AG17" s="14">
        <f>F17+I17+L17+O17+R17+U17+X17+AA17+AD17</f>
        <v/>
      </c>
      <c r="AH17" s="17">
        <f>(F17*0.5) + (I17*0.5) + (L17*1.25) + (O17*1.25) + (R17*0.5) + (U17*2.0) + (X17*2.5) + (AA17*2.5) + (AD17*1.5)</f>
        <v/>
      </c>
    </row>
    <row r="18" ht="20" customHeight="1">
      <c r="A18" s="10" t="inlineStr">
        <is>
          <t>15/09/2026</t>
        </is>
      </c>
      <c r="B18" s="10" t="inlineStr">
        <is>
          <t>Martes</t>
        </is>
      </c>
      <c r="C18" s="11" t="inlineStr">
        <is>
          <t>Central</t>
        </is>
      </c>
      <c r="D18" s="12" t="n"/>
      <c r="E18" s="13" t="n"/>
      <c r="F18" s="14">
        <f>MAX(0, D18-E18)</f>
        <v/>
      </c>
      <c r="G18" s="12" t="n"/>
      <c r="H18" s="13" t="n"/>
      <c r="I18" s="14">
        <f>MAX(0, G18-H18)</f>
        <v/>
      </c>
      <c r="J18" s="12" t="n"/>
      <c r="K18" s="13" t="n"/>
      <c r="L18" s="14">
        <f>MAX(0, J18-K18)</f>
        <v/>
      </c>
      <c r="M18" s="12" t="n"/>
      <c r="N18" s="13" t="n"/>
      <c r="O18" s="14">
        <f>MAX(0, M18-N18)</f>
        <v/>
      </c>
      <c r="P18" s="12" t="n"/>
      <c r="Q18" s="13" t="n"/>
      <c r="R18" s="14">
        <f>MAX(0, P18-Q18)</f>
        <v/>
      </c>
      <c r="S18" s="12" t="n"/>
      <c r="T18" s="13" t="n"/>
      <c r="U18" s="14">
        <f>MAX(0, S18-T18)</f>
        <v/>
      </c>
      <c r="V18" s="12" t="n"/>
      <c r="W18" s="13" t="n"/>
      <c r="X18" s="14">
        <f>MAX(0, V18-W18)</f>
        <v/>
      </c>
      <c r="Y18" s="12" t="n"/>
      <c r="Z18" s="13" t="n"/>
      <c r="AA18" s="14">
        <f>MAX(0, Y18-Z18)</f>
        <v/>
      </c>
      <c r="AB18" s="12" t="n"/>
      <c r="AC18" s="13" t="n"/>
      <c r="AD18" s="14">
        <f>MAX(0, AB18-AC18)</f>
        <v/>
      </c>
      <c r="AE18" s="15">
        <f>D18+G18+J18+M18+P18+S18+V18+Y18+AB18</f>
        <v/>
      </c>
      <c r="AF18" s="16">
        <f>E18+H18+K18+N18+Q18+T18+W18+Z18+AC18</f>
        <v/>
      </c>
      <c r="AG18" s="14">
        <f>F18+I18+L18+O18+R18+U18+X18+AA18+AD18</f>
        <v/>
      </c>
      <c r="AH18" s="17">
        <f>(F18*0.5) + (I18*0.5) + (L18*1.25) + (O18*1.25) + (R18*0.5) + (U18*2.0) + (X18*2.5) + (AA18*2.5) + (AD18*1.5)</f>
        <v/>
      </c>
    </row>
    <row r="19" ht="20" customHeight="1">
      <c r="A19" s="18" t="inlineStr">
        <is>
          <t>16/09/2026</t>
        </is>
      </c>
      <c r="B19" s="18" t="inlineStr">
        <is>
          <t>Miércoles</t>
        </is>
      </c>
      <c r="C19" s="19" t="inlineStr">
        <is>
          <t>Central</t>
        </is>
      </c>
      <c r="D19" s="20" t="n"/>
      <c r="E19" s="13" t="n"/>
      <c r="F19" s="14">
        <f>MAX(0, D19-E19)</f>
        <v/>
      </c>
      <c r="G19" s="20" t="n"/>
      <c r="H19" s="13" t="n"/>
      <c r="I19" s="14">
        <f>MAX(0, G19-H19)</f>
        <v/>
      </c>
      <c r="J19" s="20" t="n"/>
      <c r="K19" s="13" t="n"/>
      <c r="L19" s="14">
        <f>MAX(0, J19-K19)</f>
        <v/>
      </c>
      <c r="M19" s="20" t="n"/>
      <c r="N19" s="13" t="n"/>
      <c r="O19" s="14">
        <f>MAX(0, M19-N19)</f>
        <v/>
      </c>
      <c r="P19" s="20" t="n"/>
      <c r="Q19" s="13" t="n"/>
      <c r="R19" s="14">
        <f>MAX(0, P19-Q19)</f>
        <v/>
      </c>
      <c r="S19" s="20" t="n"/>
      <c r="T19" s="13" t="n"/>
      <c r="U19" s="14">
        <f>MAX(0, S19-T19)</f>
        <v/>
      </c>
      <c r="V19" s="20" t="n"/>
      <c r="W19" s="13" t="n"/>
      <c r="X19" s="14">
        <f>MAX(0, V19-W19)</f>
        <v/>
      </c>
      <c r="Y19" s="20" t="n"/>
      <c r="Z19" s="13" t="n"/>
      <c r="AA19" s="14">
        <f>MAX(0, Y19-Z19)</f>
        <v/>
      </c>
      <c r="AB19" s="20" t="n"/>
      <c r="AC19" s="13" t="n"/>
      <c r="AD19" s="14">
        <f>MAX(0, AB19-AC19)</f>
        <v/>
      </c>
      <c r="AE19" s="15">
        <f>D19+G19+J19+M19+P19+S19+V19+Y19+AB19</f>
        <v/>
      </c>
      <c r="AF19" s="16">
        <f>E19+H19+K19+N19+Q19+T19+W19+Z19+AC19</f>
        <v/>
      </c>
      <c r="AG19" s="14">
        <f>F19+I19+L19+O19+R19+U19+X19+AA19+AD19</f>
        <v/>
      </c>
      <c r="AH19" s="17">
        <f>(F19*0.5) + (I19*0.5) + (L19*1.25) + (O19*1.25) + (R19*0.5) + (U19*2.0) + (X19*2.5) + (AA19*2.5) + (AD19*1.5)</f>
        <v/>
      </c>
    </row>
    <row r="20" ht="20" customHeight="1">
      <c r="A20" s="10" t="inlineStr">
        <is>
          <t>17/09/2026</t>
        </is>
      </c>
      <c r="B20" s="10" t="inlineStr">
        <is>
          <t>Jueves</t>
        </is>
      </c>
      <c r="C20" s="11" t="inlineStr">
        <is>
          <t>Central</t>
        </is>
      </c>
      <c r="D20" s="12" t="n"/>
      <c r="E20" s="13" t="n"/>
      <c r="F20" s="14">
        <f>MAX(0, D20-E20)</f>
        <v/>
      </c>
      <c r="G20" s="12" t="n"/>
      <c r="H20" s="13" t="n"/>
      <c r="I20" s="14">
        <f>MAX(0, G20-H20)</f>
        <v/>
      </c>
      <c r="J20" s="12" t="n"/>
      <c r="K20" s="13" t="n"/>
      <c r="L20" s="14">
        <f>MAX(0, J20-K20)</f>
        <v/>
      </c>
      <c r="M20" s="12" t="n"/>
      <c r="N20" s="13" t="n"/>
      <c r="O20" s="14">
        <f>MAX(0, M20-N20)</f>
        <v/>
      </c>
      <c r="P20" s="12" t="n"/>
      <c r="Q20" s="13" t="n"/>
      <c r="R20" s="14">
        <f>MAX(0, P20-Q20)</f>
        <v/>
      </c>
      <c r="S20" s="12" t="n"/>
      <c r="T20" s="13" t="n"/>
      <c r="U20" s="14">
        <f>MAX(0, S20-T20)</f>
        <v/>
      </c>
      <c r="V20" s="12" t="n"/>
      <c r="W20" s="13" t="n"/>
      <c r="X20" s="14">
        <f>MAX(0, V20-W20)</f>
        <v/>
      </c>
      <c r="Y20" s="12" t="n"/>
      <c r="Z20" s="13" t="n"/>
      <c r="AA20" s="14">
        <f>MAX(0, Y20-Z20)</f>
        <v/>
      </c>
      <c r="AB20" s="12" t="n"/>
      <c r="AC20" s="13" t="n"/>
      <c r="AD20" s="14">
        <f>MAX(0, AB20-AC20)</f>
        <v/>
      </c>
      <c r="AE20" s="15">
        <f>D20+G20+J20+M20+P20+S20+V20+Y20+AB20</f>
        <v/>
      </c>
      <c r="AF20" s="16">
        <f>E20+H20+K20+N20+Q20+T20+W20+Z20+AC20</f>
        <v/>
      </c>
      <c r="AG20" s="14">
        <f>F20+I20+L20+O20+R20+U20+X20+AA20+AD20</f>
        <v/>
      </c>
      <c r="AH20" s="17">
        <f>(F20*0.5) + (I20*0.5) + (L20*1.25) + (O20*1.25) + (R20*0.5) + (U20*2.0) + (X20*2.5) + (AA20*2.5) + (AD20*1.5)</f>
        <v/>
      </c>
    </row>
    <row r="21" ht="20" customHeight="1">
      <c r="A21" s="18" t="inlineStr">
        <is>
          <t>18/09/2026</t>
        </is>
      </c>
      <c r="B21" s="18" t="inlineStr">
        <is>
          <t>Viernes</t>
        </is>
      </c>
      <c r="C21" s="19" t="inlineStr">
        <is>
          <t>Central</t>
        </is>
      </c>
      <c r="D21" s="20" t="n"/>
      <c r="E21" s="13" t="n"/>
      <c r="F21" s="14">
        <f>MAX(0, D21-E21)</f>
        <v/>
      </c>
      <c r="G21" s="20" t="n"/>
      <c r="H21" s="13" t="n"/>
      <c r="I21" s="14">
        <f>MAX(0, G21-H21)</f>
        <v/>
      </c>
      <c r="J21" s="20" t="n"/>
      <c r="K21" s="13" t="n"/>
      <c r="L21" s="14">
        <f>MAX(0, J21-K21)</f>
        <v/>
      </c>
      <c r="M21" s="20" t="n"/>
      <c r="N21" s="13" t="n"/>
      <c r="O21" s="14">
        <f>MAX(0, M21-N21)</f>
        <v/>
      </c>
      <c r="P21" s="20" t="n"/>
      <c r="Q21" s="13" t="n"/>
      <c r="R21" s="14">
        <f>MAX(0, P21-Q21)</f>
        <v/>
      </c>
      <c r="S21" s="20" t="n"/>
      <c r="T21" s="13" t="n"/>
      <c r="U21" s="14">
        <f>MAX(0, S21-T21)</f>
        <v/>
      </c>
      <c r="V21" s="20" t="n"/>
      <c r="W21" s="13" t="n"/>
      <c r="X21" s="14">
        <f>MAX(0, V21-W21)</f>
        <v/>
      </c>
      <c r="Y21" s="20" t="n"/>
      <c r="Z21" s="13" t="n"/>
      <c r="AA21" s="14">
        <f>MAX(0, Y21-Z21)</f>
        <v/>
      </c>
      <c r="AB21" s="20" t="n"/>
      <c r="AC21" s="13" t="n"/>
      <c r="AD21" s="14">
        <f>MAX(0, AB21-AC21)</f>
        <v/>
      </c>
      <c r="AE21" s="15">
        <f>D21+G21+J21+M21+P21+S21+V21+Y21+AB21</f>
        <v/>
      </c>
      <c r="AF21" s="16">
        <f>E21+H21+K21+N21+Q21+T21+W21+Z21+AC21</f>
        <v/>
      </c>
      <c r="AG21" s="14">
        <f>F21+I21+L21+O21+R21+U21+X21+AA21+AD21</f>
        <v/>
      </c>
      <c r="AH21" s="17">
        <f>(F21*0.5) + (I21*0.5) + (L21*1.25) + (O21*1.25) + (R21*0.5) + (U21*2.0) + (X21*2.5) + (AA21*2.5) + (AD21*1.5)</f>
        <v/>
      </c>
    </row>
    <row r="22" ht="20" customHeight="1">
      <c r="A22" s="10" t="inlineStr">
        <is>
          <t>19/09/2026</t>
        </is>
      </c>
      <c r="B22" s="10" t="inlineStr">
        <is>
          <t>Sábado</t>
        </is>
      </c>
      <c r="C22" s="11" t="inlineStr">
        <is>
          <t>Central</t>
        </is>
      </c>
      <c r="D22" s="12" t="n"/>
      <c r="E22" s="13" t="n"/>
      <c r="F22" s="14">
        <f>MAX(0, D22-E22)</f>
        <v/>
      </c>
      <c r="G22" s="12" t="n"/>
      <c r="H22" s="13" t="n"/>
      <c r="I22" s="14">
        <f>MAX(0, G22-H22)</f>
        <v/>
      </c>
      <c r="J22" s="12" t="n"/>
      <c r="K22" s="13" t="n"/>
      <c r="L22" s="14">
        <f>MAX(0, J22-K22)</f>
        <v/>
      </c>
      <c r="M22" s="12" t="n"/>
      <c r="N22" s="13" t="n"/>
      <c r="O22" s="14">
        <f>MAX(0, M22-N22)</f>
        <v/>
      </c>
      <c r="P22" s="12" t="n"/>
      <c r="Q22" s="13" t="n"/>
      <c r="R22" s="14">
        <f>MAX(0, P22-Q22)</f>
        <v/>
      </c>
      <c r="S22" s="12" t="n"/>
      <c r="T22" s="13" t="n"/>
      <c r="U22" s="14">
        <f>MAX(0, S22-T22)</f>
        <v/>
      </c>
      <c r="V22" s="12" t="n"/>
      <c r="W22" s="13" t="n"/>
      <c r="X22" s="14">
        <f>MAX(0, V22-W22)</f>
        <v/>
      </c>
      <c r="Y22" s="12" t="n"/>
      <c r="Z22" s="13" t="n"/>
      <c r="AA22" s="14">
        <f>MAX(0, Y22-Z22)</f>
        <v/>
      </c>
      <c r="AB22" s="12" t="n"/>
      <c r="AC22" s="13" t="n"/>
      <c r="AD22" s="14">
        <f>MAX(0, AB22-AC22)</f>
        <v/>
      </c>
      <c r="AE22" s="15">
        <f>D22+G22+J22+M22+P22+S22+V22+Y22+AB22</f>
        <v/>
      </c>
      <c r="AF22" s="16">
        <f>E22+H22+K22+N22+Q22+T22+W22+Z22+AC22</f>
        <v/>
      </c>
      <c r="AG22" s="14">
        <f>F22+I22+L22+O22+R22+U22+X22+AA22+AD22</f>
        <v/>
      </c>
      <c r="AH22" s="17">
        <f>(F22*0.5) + (I22*0.5) + (L22*1.25) + (O22*1.25) + (R22*0.5) + (U22*2.0) + (X22*2.5) + (AA22*2.5) + (AD22*1.5)</f>
        <v/>
      </c>
    </row>
    <row r="23" ht="20" customHeight="1">
      <c r="A23" s="21" t="inlineStr">
        <is>
          <t>20/09/2026</t>
        </is>
      </c>
      <c r="B23" s="21" t="inlineStr">
        <is>
          <t>Domingo</t>
        </is>
      </c>
      <c r="C23" s="22" t="inlineStr">
        <is>
          <t>Central</t>
        </is>
      </c>
      <c r="D23" s="23" t="n"/>
      <c r="E23" s="24" t="n"/>
      <c r="F23" s="25">
        <f>MAX(0, D23-E23)</f>
        <v/>
      </c>
      <c r="G23" s="23" t="n"/>
      <c r="H23" s="24" t="n"/>
      <c r="I23" s="25">
        <f>MAX(0, G23-H23)</f>
        <v/>
      </c>
      <c r="J23" s="23" t="n"/>
      <c r="K23" s="24" t="n"/>
      <c r="L23" s="25">
        <f>MAX(0, J23-K23)</f>
        <v/>
      </c>
      <c r="M23" s="23" t="n"/>
      <c r="N23" s="24" t="n"/>
      <c r="O23" s="25">
        <f>MAX(0, M23-N23)</f>
        <v/>
      </c>
      <c r="P23" s="23" t="n"/>
      <c r="Q23" s="24" t="n"/>
      <c r="R23" s="25">
        <f>MAX(0, P23-Q23)</f>
        <v/>
      </c>
      <c r="S23" s="23" t="n"/>
      <c r="T23" s="24" t="n"/>
      <c r="U23" s="25">
        <f>MAX(0, S23-T23)</f>
        <v/>
      </c>
      <c r="V23" s="23" t="n"/>
      <c r="W23" s="24" t="n"/>
      <c r="X23" s="25">
        <f>MAX(0, V23-W23)</f>
        <v/>
      </c>
      <c r="Y23" s="23" t="n"/>
      <c r="Z23" s="24" t="n"/>
      <c r="AA23" s="25">
        <f>MAX(0, Y23-Z23)</f>
        <v/>
      </c>
      <c r="AB23" s="23" t="n"/>
      <c r="AC23" s="24" t="n"/>
      <c r="AD23" s="25">
        <f>MAX(0, AB23-AC23)</f>
        <v/>
      </c>
      <c r="AE23" s="15">
        <f>D23+G23+J23+M23+P23+S23+V23+Y23+AB23</f>
        <v/>
      </c>
      <c r="AF23" s="16">
        <f>E23+H23+K23+N23+Q23+T23+W23+Z23+AC23</f>
        <v/>
      </c>
      <c r="AG23" s="14">
        <f>F23+I23+L23+O23+R23+U23+X23+AA23+AD23</f>
        <v/>
      </c>
      <c r="AH23" s="17">
        <f>(F23*0.5) + (I23*0.5) + (L23*1.25) + (O23*1.25) + (R23*0.5) + (U23*2.0) + (X23*2.5) + (AA23*2.5) + (AD23*1.5)</f>
        <v/>
      </c>
    </row>
    <row r="24" ht="20" customHeight="1">
      <c r="A24" s="10" t="inlineStr">
        <is>
          <t>21/09/2026</t>
        </is>
      </c>
      <c r="B24" s="10" t="inlineStr">
        <is>
          <t>Lunes</t>
        </is>
      </c>
      <c r="C24" s="11" t="inlineStr">
        <is>
          <t>Central</t>
        </is>
      </c>
      <c r="D24" s="12" t="n"/>
      <c r="E24" s="13" t="n"/>
      <c r="F24" s="14">
        <f>MAX(0, D24-E24)</f>
        <v/>
      </c>
      <c r="G24" s="12" t="n"/>
      <c r="H24" s="13" t="n"/>
      <c r="I24" s="14">
        <f>MAX(0, G24-H24)</f>
        <v/>
      </c>
      <c r="J24" s="12" t="n"/>
      <c r="K24" s="13" t="n"/>
      <c r="L24" s="14">
        <f>MAX(0, J24-K24)</f>
        <v/>
      </c>
      <c r="M24" s="12" t="n"/>
      <c r="N24" s="13" t="n"/>
      <c r="O24" s="14">
        <f>MAX(0, M24-N24)</f>
        <v/>
      </c>
      <c r="P24" s="12" t="n"/>
      <c r="Q24" s="13" t="n"/>
      <c r="R24" s="14">
        <f>MAX(0, P24-Q24)</f>
        <v/>
      </c>
      <c r="S24" s="12" t="n"/>
      <c r="T24" s="13" t="n"/>
      <c r="U24" s="14">
        <f>MAX(0, S24-T24)</f>
        <v/>
      </c>
      <c r="V24" s="12" t="n"/>
      <c r="W24" s="13" t="n"/>
      <c r="X24" s="14">
        <f>MAX(0, V24-W24)</f>
        <v/>
      </c>
      <c r="Y24" s="12" t="n"/>
      <c r="Z24" s="13" t="n"/>
      <c r="AA24" s="14">
        <f>MAX(0, Y24-Z24)</f>
        <v/>
      </c>
      <c r="AB24" s="12" t="n"/>
      <c r="AC24" s="13" t="n"/>
      <c r="AD24" s="14">
        <f>MAX(0, AB24-AC24)</f>
        <v/>
      </c>
      <c r="AE24" s="15">
        <f>D24+G24+J24+M24+P24+S24+V24+Y24+AB24</f>
        <v/>
      </c>
      <c r="AF24" s="16">
        <f>E24+H24+K24+N24+Q24+T24+W24+Z24+AC24</f>
        <v/>
      </c>
      <c r="AG24" s="14">
        <f>F24+I24+L24+O24+R24+U24+X24+AA24+AD24</f>
        <v/>
      </c>
      <c r="AH24" s="17">
        <f>(F24*0.5) + (I24*0.5) + (L24*1.25) + (O24*1.25) + (R24*0.5) + (U24*2.0) + (X24*2.5) + (AA24*2.5) + (AD24*1.5)</f>
        <v/>
      </c>
    </row>
    <row r="25" ht="20" customHeight="1">
      <c r="A25" s="18" t="inlineStr">
        <is>
          <t>22/09/2026</t>
        </is>
      </c>
      <c r="B25" s="18" t="inlineStr">
        <is>
          <t>Martes</t>
        </is>
      </c>
      <c r="C25" s="19" t="inlineStr">
        <is>
          <t>Central</t>
        </is>
      </c>
      <c r="D25" s="20" t="n"/>
      <c r="E25" s="13" t="n"/>
      <c r="F25" s="14">
        <f>MAX(0, D25-E25)</f>
        <v/>
      </c>
      <c r="G25" s="20" t="n"/>
      <c r="H25" s="13" t="n"/>
      <c r="I25" s="14">
        <f>MAX(0, G25-H25)</f>
        <v/>
      </c>
      <c r="J25" s="20" t="n"/>
      <c r="K25" s="13" t="n"/>
      <c r="L25" s="14">
        <f>MAX(0, J25-K25)</f>
        <v/>
      </c>
      <c r="M25" s="20" t="n"/>
      <c r="N25" s="13" t="n"/>
      <c r="O25" s="14">
        <f>MAX(0, M25-N25)</f>
        <v/>
      </c>
      <c r="P25" s="20" t="n"/>
      <c r="Q25" s="13" t="n"/>
      <c r="R25" s="14">
        <f>MAX(0, P25-Q25)</f>
        <v/>
      </c>
      <c r="S25" s="20" t="n"/>
      <c r="T25" s="13" t="n"/>
      <c r="U25" s="14">
        <f>MAX(0, S25-T25)</f>
        <v/>
      </c>
      <c r="V25" s="20" t="n"/>
      <c r="W25" s="13" t="n"/>
      <c r="X25" s="14">
        <f>MAX(0, V25-W25)</f>
        <v/>
      </c>
      <c r="Y25" s="20" t="n"/>
      <c r="Z25" s="13" t="n"/>
      <c r="AA25" s="14">
        <f>MAX(0, Y25-Z25)</f>
        <v/>
      </c>
      <c r="AB25" s="20" t="n"/>
      <c r="AC25" s="13" t="n"/>
      <c r="AD25" s="14">
        <f>MAX(0, AB25-AC25)</f>
        <v/>
      </c>
      <c r="AE25" s="15">
        <f>D25+G25+J25+M25+P25+S25+V25+Y25+AB25</f>
        <v/>
      </c>
      <c r="AF25" s="16">
        <f>E25+H25+K25+N25+Q25+T25+W25+Z25+AC25</f>
        <v/>
      </c>
      <c r="AG25" s="14">
        <f>F25+I25+L25+O25+R25+U25+X25+AA25+AD25</f>
        <v/>
      </c>
      <c r="AH25" s="17">
        <f>(F25*0.5) + (I25*0.5) + (L25*1.25) + (O25*1.25) + (R25*0.5) + (U25*2.0) + (X25*2.5) + (AA25*2.5) + (AD25*1.5)</f>
        <v/>
      </c>
    </row>
    <row r="26" ht="20" customHeight="1">
      <c r="A26" s="10" t="inlineStr">
        <is>
          <t>23/09/2026</t>
        </is>
      </c>
      <c r="B26" s="10" t="inlineStr">
        <is>
          <t>Miércoles</t>
        </is>
      </c>
      <c r="C26" s="11" t="inlineStr">
        <is>
          <t>Central</t>
        </is>
      </c>
      <c r="D26" s="12" t="n"/>
      <c r="E26" s="13" t="n"/>
      <c r="F26" s="14">
        <f>MAX(0, D26-E26)</f>
        <v/>
      </c>
      <c r="G26" s="12" t="n"/>
      <c r="H26" s="13" t="n"/>
      <c r="I26" s="14">
        <f>MAX(0, G26-H26)</f>
        <v/>
      </c>
      <c r="J26" s="12" t="n"/>
      <c r="K26" s="13" t="n"/>
      <c r="L26" s="14">
        <f>MAX(0, J26-K26)</f>
        <v/>
      </c>
      <c r="M26" s="12" t="n"/>
      <c r="N26" s="13" t="n"/>
      <c r="O26" s="14">
        <f>MAX(0, M26-N26)</f>
        <v/>
      </c>
      <c r="P26" s="12" t="n"/>
      <c r="Q26" s="13" t="n"/>
      <c r="R26" s="14">
        <f>MAX(0, P26-Q26)</f>
        <v/>
      </c>
      <c r="S26" s="12" t="n"/>
      <c r="T26" s="13" t="n"/>
      <c r="U26" s="14">
        <f>MAX(0, S26-T26)</f>
        <v/>
      </c>
      <c r="V26" s="12" t="n"/>
      <c r="W26" s="13" t="n"/>
      <c r="X26" s="14">
        <f>MAX(0, V26-W26)</f>
        <v/>
      </c>
      <c r="Y26" s="12" t="n"/>
      <c r="Z26" s="13" t="n"/>
      <c r="AA26" s="14">
        <f>MAX(0, Y26-Z26)</f>
        <v/>
      </c>
      <c r="AB26" s="12" t="n"/>
      <c r="AC26" s="13" t="n"/>
      <c r="AD26" s="14">
        <f>MAX(0, AB26-AC26)</f>
        <v/>
      </c>
      <c r="AE26" s="15">
        <f>D26+G26+J26+M26+P26+S26+V26+Y26+AB26</f>
        <v/>
      </c>
      <c r="AF26" s="16">
        <f>E26+H26+K26+N26+Q26+T26+W26+Z26+AC26</f>
        <v/>
      </c>
      <c r="AG26" s="14">
        <f>F26+I26+L26+O26+R26+U26+X26+AA26+AD26</f>
        <v/>
      </c>
      <c r="AH26" s="17">
        <f>(F26*0.5) + (I26*0.5) + (L26*1.25) + (O26*1.25) + (R26*0.5) + (U26*2.0) + (X26*2.5) + (AA26*2.5) + (AD26*1.5)</f>
        <v/>
      </c>
    </row>
    <row r="27" ht="20" customHeight="1">
      <c r="A27" s="18" t="inlineStr">
        <is>
          <t>24/09/2026</t>
        </is>
      </c>
      <c r="B27" s="18" t="inlineStr">
        <is>
          <t>Jueves</t>
        </is>
      </c>
      <c r="C27" s="19" t="inlineStr">
        <is>
          <t>Central</t>
        </is>
      </c>
      <c r="D27" s="20" t="n"/>
      <c r="E27" s="13" t="n"/>
      <c r="F27" s="14">
        <f>MAX(0, D27-E27)</f>
        <v/>
      </c>
      <c r="G27" s="20" t="n"/>
      <c r="H27" s="13" t="n"/>
      <c r="I27" s="14">
        <f>MAX(0, G27-H27)</f>
        <v/>
      </c>
      <c r="J27" s="20" t="n"/>
      <c r="K27" s="13" t="n"/>
      <c r="L27" s="14">
        <f>MAX(0, J27-K27)</f>
        <v/>
      </c>
      <c r="M27" s="20" t="n"/>
      <c r="N27" s="13" t="n"/>
      <c r="O27" s="14">
        <f>MAX(0, M27-N27)</f>
        <v/>
      </c>
      <c r="P27" s="20" t="n"/>
      <c r="Q27" s="13" t="n"/>
      <c r="R27" s="14">
        <f>MAX(0, P27-Q27)</f>
        <v/>
      </c>
      <c r="S27" s="20" t="n"/>
      <c r="T27" s="13" t="n"/>
      <c r="U27" s="14">
        <f>MAX(0, S27-T27)</f>
        <v/>
      </c>
      <c r="V27" s="20" t="n"/>
      <c r="W27" s="13" t="n"/>
      <c r="X27" s="14">
        <f>MAX(0, V27-W27)</f>
        <v/>
      </c>
      <c r="Y27" s="20" t="n"/>
      <c r="Z27" s="13" t="n"/>
      <c r="AA27" s="14">
        <f>MAX(0, Y27-Z27)</f>
        <v/>
      </c>
      <c r="AB27" s="20" t="n"/>
      <c r="AC27" s="13" t="n"/>
      <c r="AD27" s="14">
        <f>MAX(0, AB27-AC27)</f>
        <v/>
      </c>
      <c r="AE27" s="15">
        <f>D27+G27+J27+M27+P27+S27+V27+Y27+AB27</f>
        <v/>
      </c>
      <c r="AF27" s="16">
        <f>E27+H27+K27+N27+Q27+T27+W27+Z27+AC27</f>
        <v/>
      </c>
      <c r="AG27" s="14">
        <f>F27+I27+L27+O27+R27+U27+X27+AA27+AD27</f>
        <v/>
      </c>
      <c r="AH27" s="17">
        <f>(F27*0.5) + (I27*0.5) + (L27*1.25) + (O27*1.25) + (R27*0.5) + (U27*2.0) + (X27*2.5) + (AA27*2.5) + (AD27*1.5)</f>
        <v/>
      </c>
    </row>
    <row r="28" ht="20" customHeight="1">
      <c r="A28" s="10" t="inlineStr">
        <is>
          <t>25/09/2026</t>
        </is>
      </c>
      <c r="B28" s="10" t="inlineStr">
        <is>
          <t>Viernes</t>
        </is>
      </c>
      <c r="C28" s="11" t="inlineStr">
        <is>
          <t>Central</t>
        </is>
      </c>
      <c r="D28" s="12" t="n"/>
      <c r="E28" s="13" t="n"/>
      <c r="F28" s="14">
        <f>MAX(0, D28-E28)</f>
        <v/>
      </c>
      <c r="G28" s="12" t="n"/>
      <c r="H28" s="13" t="n"/>
      <c r="I28" s="14">
        <f>MAX(0, G28-H28)</f>
        <v/>
      </c>
      <c r="J28" s="12" t="n"/>
      <c r="K28" s="13" t="n"/>
      <c r="L28" s="14">
        <f>MAX(0, J28-K28)</f>
        <v/>
      </c>
      <c r="M28" s="12" t="n"/>
      <c r="N28" s="13" t="n"/>
      <c r="O28" s="14">
        <f>MAX(0, M28-N28)</f>
        <v/>
      </c>
      <c r="P28" s="12" t="n"/>
      <c r="Q28" s="13" t="n"/>
      <c r="R28" s="14">
        <f>MAX(0, P28-Q28)</f>
        <v/>
      </c>
      <c r="S28" s="12" t="n"/>
      <c r="T28" s="13" t="n"/>
      <c r="U28" s="14">
        <f>MAX(0, S28-T28)</f>
        <v/>
      </c>
      <c r="V28" s="12" t="n"/>
      <c r="W28" s="13" t="n"/>
      <c r="X28" s="14">
        <f>MAX(0, V28-W28)</f>
        <v/>
      </c>
      <c r="Y28" s="12" t="n"/>
      <c r="Z28" s="13" t="n"/>
      <c r="AA28" s="14">
        <f>MAX(0, Y28-Z28)</f>
        <v/>
      </c>
      <c r="AB28" s="12" t="n"/>
      <c r="AC28" s="13" t="n"/>
      <c r="AD28" s="14">
        <f>MAX(0, AB28-AC28)</f>
        <v/>
      </c>
      <c r="AE28" s="15">
        <f>D28+G28+J28+M28+P28+S28+V28+Y28+AB28</f>
        <v/>
      </c>
      <c r="AF28" s="16">
        <f>E28+H28+K28+N28+Q28+T28+W28+Z28+AC28</f>
        <v/>
      </c>
      <c r="AG28" s="14">
        <f>F28+I28+L28+O28+R28+U28+X28+AA28+AD28</f>
        <v/>
      </c>
      <c r="AH28" s="17">
        <f>(F28*0.5) + (I28*0.5) + (L28*1.25) + (O28*1.25) + (R28*0.5) + (U28*2.0) + (X28*2.5) + (AA28*2.5) + (AD28*1.5)</f>
        <v/>
      </c>
    </row>
    <row r="29" ht="20" customHeight="1">
      <c r="A29" s="18" t="inlineStr">
        <is>
          <t>26/09/2026</t>
        </is>
      </c>
      <c r="B29" s="18" t="inlineStr">
        <is>
          <t>Sábado</t>
        </is>
      </c>
      <c r="C29" s="19" t="inlineStr">
        <is>
          <t>Central</t>
        </is>
      </c>
      <c r="D29" s="20" t="n"/>
      <c r="E29" s="13" t="n"/>
      <c r="F29" s="14">
        <f>MAX(0, D29-E29)</f>
        <v/>
      </c>
      <c r="G29" s="20" t="n"/>
      <c r="H29" s="13" t="n"/>
      <c r="I29" s="14">
        <f>MAX(0, G29-H29)</f>
        <v/>
      </c>
      <c r="J29" s="20" t="n"/>
      <c r="K29" s="13" t="n"/>
      <c r="L29" s="14">
        <f>MAX(0, J29-K29)</f>
        <v/>
      </c>
      <c r="M29" s="20" t="n"/>
      <c r="N29" s="13" t="n"/>
      <c r="O29" s="14">
        <f>MAX(0, M29-N29)</f>
        <v/>
      </c>
      <c r="P29" s="20" t="n"/>
      <c r="Q29" s="13" t="n"/>
      <c r="R29" s="14">
        <f>MAX(0, P29-Q29)</f>
        <v/>
      </c>
      <c r="S29" s="20" t="n"/>
      <c r="T29" s="13" t="n"/>
      <c r="U29" s="14">
        <f>MAX(0, S29-T29)</f>
        <v/>
      </c>
      <c r="V29" s="20" t="n"/>
      <c r="W29" s="13" t="n"/>
      <c r="X29" s="14">
        <f>MAX(0, V29-W29)</f>
        <v/>
      </c>
      <c r="Y29" s="20" t="n"/>
      <c r="Z29" s="13" t="n"/>
      <c r="AA29" s="14">
        <f>MAX(0, Y29-Z29)</f>
        <v/>
      </c>
      <c r="AB29" s="20" t="n"/>
      <c r="AC29" s="13" t="n"/>
      <c r="AD29" s="14">
        <f>MAX(0, AB29-AC29)</f>
        <v/>
      </c>
      <c r="AE29" s="15">
        <f>D29+G29+J29+M29+P29+S29+V29+Y29+AB29</f>
        <v/>
      </c>
      <c r="AF29" s="16">
        <f>E29+H29+K29+N29+Q29+T29+W29+Z29+AC29</f>
        <v/>
      </c>
      <c r="AG29" s="14">
        <f>F29+I29+L29+O29+R29+U29+X29+AA29+AD29</f>
        <v/>
      </c>
      <c r="AH29" s="17">
        <f>(F29*0.5) + (I29*0.5) + (L29*1.25) + (O29*1.25) + (R29*0.5) + (U29*2.0) + (X29*2.5) + (AA29*2.5) + (AD29*1.5)</f>
        <v/>
      </c>
    </row>
    <row r="30" ht="20" customHeight="1">
      <c r="A30" s="21" t="inlineStr">
        <is>
          <t>27/09/2026</t>
        </is>
      </c>
      <c r="B30" s="21" t="inlineStr">
        <is>
          <t>Domingo</t>
        </is>
      </c>
      <c r="C30" s="22" t="inlineStr">
        <is>
          <t>Central</t>
        </is>
      </c>
      <c r="D30" s="23" t="n"/>
      <c r="E30" s="24" t="n"/>
      <c r="F30" s="25">
        <f>MAX(0, D30-E30)</f>
        <v/>
      </c>
      <c r="G30" s="23" t="n"/>
      <c r="H30" s="24" t="n"/>
      <c r="I30" s="25">
        <f>MAX(0, G30-H30)</f>
        <v/>
      </c>
      <c r="J30" s="23" t="n"/>
      <c r="K30" s="24" t="n"/>
      <c r="L30" s="25">
        <f>MAX(0, J30-K30)</f>
        <v/>
      </c>
      <c r="M30" s="23" t="n"/>
      <c r="N30" s="24" t="n"/>
      <c r="O30" s="25">
        <f>MAX(0, M30-N30)</f>
        <v/>
      </c>
      <c r="P30" s="23" t="n"/>
      <c r="Q30" s="24" t="n"/>
      <c r="R30" s="25">
        <f>MAX(0, P30-Q30)</f>
        <v/>
      </c>
      <c r="S30" s="23" t="n"/>
      <c r="T30" s="24" t="n"/>
      <c r="U30" s="25">
        <f>MAX(0, S30-T30)</f>
        <v/>
      </c>
      <c r="V30" s="23" t="n"/>
      <c r="W30" s="24" t="n"/>
      <c r="X30" s="25">
        <f>MAX(0, V30-W30)</f>
        <v/>
      </c>
      <c r="Y30" s="23" t="n"/>
      <c r="Z30" s="24" t="n"/>
      <c r="AA30" s="25">
        <f>MAX(0, Y30-Z30)</f>
        <v/>
      </c>
      <c r="AB30" s="23" t="n"/>
      <c r="AC30" s="24" t="n"/>
      <c r="AD30" s="25">
        <f>MAX(0, AB30-AC30)</f>
        <v/>
      </c>
      <c r="AE30" s="15">
        <f>D30+G30+J30+M30+P30+S30+V30+Y30+AB30</f>
        <v/>
      </c>
      <c r="AF30" s="16">
        <f>E30+H30+K30+N30+Q30+T30+W30+Z30+AC30</f>
        <v/>
      </c>
      <c r="AG30" s="14">
        <f>F30+I30+L30+O30+R30+U30+X30+AA30+AD30</f>
        <v/>
      </c>
      <c r="AH30" s="17">
        <f>(F30*0.5) + (I30*0.5) + (L30*1.25) + (O30*1.25) + (R30*0.5) + (U30*2.0) + (X30*2.5) + (AA30*2.5) + (AD30*1.5)</f>
        <v/>
      </c>
    </row>
    <row r="31" ht="20" customHeight="1">
      <c r="A31" s="18" t="inlineStr">
        <is>
          <t>28/09/2026</t>
        </is>
      </c>
      <c r="B31" s="18" t="inlineStr">
        <is>
          <t>Lunes</t>
        </is>
      </c>
      <c r="C31" s="19" t="inlineStr">
        <is>
          <t>Central</t>
        </is>
      </c>
      <c r="D31" s="20" t="n"/>
      <c r="E31" s="13" t="n"/>
      <c r="F31" s="14">
        <f>MAX(0, D31-E31)</f>
        <v/>
      </c>
      <c r="G31" s="20" t="n"/>
      <c r="H31" s="13" t="n"/>
      <c r="I31" s="14">
        <f>MAX(0, G31-H31)</f>
        <v/>
      </c>
      <c r="J31" s="20" t="n"/>
      <c r="K31" s="13" t="n"/>
      <c r="L31" s="14">
        <f>MAX(0, J31-K31)</f>
        <v/>
      </c>
      <c r="M31" s="20" t="n"/>
      <c r="N31" s="13" t="n"/>
      <c r="O31" s="14">
        <f>MAX(0, M31-N31)</f>
        <v/>
      </c>
      <c r="P31" s="20" t="n"/>
      <c r="Q31" s="13" t="n"/>
      <c r="R31" s="14">
        <f>MAX(0, P31-Q31)</f>
        <v/>
      </c>
      <c r="S31" s="20" t="n"/>
      <c r="T31" s="13" t="n"/>
      <c r="U31" s="14">
        <f>MAX(0, S31-T31)</f>
        <v/>
      </c>
      <c r="V31" s="20" t="n"/>
      <c r="W31" s="13" t="n"/>
      <c r="X31" s="14">
        <f>MAX(0, V31-W31)</f>
        <v/>
      </c>
      <c r="Y31" s="20" t="n"/>
      <c r="Z31" s="13" t="n"/>
      <c r="AA31" s="14">
        <f>MAX(0, Y31-Z31)</f>
        <v/>
      </c>
      <c r="AB31" s="20" t="n"/>
      <c r="AC31" s="13" t="n"/>
      <c r="AD31" s="14">
        <f>MAX(0, AB31-AC31)</f>
        <v/>
      </c>
      <c r="AE31" s="15">
        <f>D31+G31+J31+M31+P31+S31+V31+Y31+AB31</f>
        <v/>
      </c>
      <c r="AF31" s="16">
        <f>E31+H31+K31+N31+Q31+T31+W31+Z31+AC31</f>
        <v/>
      </c>
      <c r="AG31" s="14">
        <f>F31+I31+L31+O31+R31+U31+X31+AA31+AD31</f>
        <v/>
      </c>
      <c r="AH31" s="17">
        <f>(F31*0.5) + (I31*0.5) + (L31*1.25) + (O31*1.25) + (R31*0.5) + (U31*2.0) + (X31*2.5) + (AA31*2.5) + (AD31*1.5)</f>
        <v/>
      </c>
    </row>
    <row r="32" ht="20" customHeight="1">
      <c r="A32" s="10" t="inlineStr">
        <is>
          <t>29/09/2026</t>
        </is>
      </c>
      <c r="B32" s="10" t="inlineStr">
        <is>
          <t>Martes</t>
        </is>
      </c>
      <c r="C32" s="11" t="inlineStr">
        <is>
          <t>Central</t>
        </is>
      </c>
      <c r="D32" s="12" t="n"/>
      <c r="E32" s="13" t="n"/>
      <c r="F32" s="14">
        <f>MAX(0, D32-E32)</f>
        <v/>
      </c>
      <c r="G32" s="12" t="n"/>
      <c r="H32" s="13" t="n"/>
      <c r="I32" s="14">
        <f>MAX(0, G32-H32)</f>
        <v/>
      </c>
      <c r="J32" s="12" t="n"/>
      <c r="K32" s="13" t="n"/>
      <c r="L32" s="14">
        <f>MAX(0, J32-K32)</f>
        <v/>
      </c>
      <c r="M32" s="12" t="n"/>
      <c r="N32" s="13" t="n"/>
      <c r="O32" s="14">
        <f>MAX(0, M32-N32)</f>
        <v/>
      </c>
      <c r="P32" s="12" t="n"/>
      <c r="Q32" s="13" t="n"/>
      <c r="R32" s="14">
        <f>MAX(0, P32-Q32)</f>
        <v/>
      </c>
      <c r="S32" s="12" t="n"/>
      <c r="T32" s="13" t="n"/>
      <c r="U32" s="14">
        <f>MAX(0, S32-T32)</f>
        <v/>
      </c>
      <c r="V32" s="12" t="n"/>
      <c r="W32" s="13" t="n"/>
      <c r="X32" s="14">
        <f>MAX(0, V32-W32)</f>
        <v/>
      </c>
      <c r="Y32" s="12" t="n"/>
      <c r="Z32" s="13" t="n"/>
      <c r="AA32" s="14">
        <f>MAX(0, Y32-Z32)</f>
        <v/>
      </c>
      <c r="AB32" s="12" t="n"/>
      <c r="AC32" s="13" t="n"/>
      <c r="AD32" s="14">
        <f>MAX(0, AB32-AC32)</f>
        <v/>
      </c>
      <c r="AE32" s="15">
        <f>D32+G32+J32+M32+P32+S32+V32+Y32+AB32</f>
        <v/>
      </c>
      <c r="AF32" s="16">
        <f>E32+H32+K32+N32+Q32+T32+W32+Z32+AC32</f>
        <v/>
      </c>
      <c r="AG32" s="14">
        <f>F32+I32+L32+O32+R32+U32+X32+AA32+AD32</f>
        <v/>
      </c>
      <c r="AH32" s="17">
        <f>(F32*0.5) + (I32*0.5) + (L32*1.25) + (O32*1.25) + (R32*0.5) + (U32*2.0) + (X32*2.5) + (AA32*2.5) + (AD32*1.5)</f>
        <v/>
      </c>
    </row>
    <row r="33" ht="20" customHeight="1">
      <c r="A33" s="18" t="inlineStr">
        <is>
          <t>30/09/2026</t>
        </is>
      </c>
      <c r="B33" s="18" t="inlineStr">
        <is>
          <t>Miércoles</t>
        </is>
      </c>
      <c r="C33" s="19" t="inlineStr">
        <is>
          <t>Central</t>
        </is>
      </c>
      <c r="D33" s="20" t="n"/>
      <c r="E33" s="13" t="n"/>
      <c r="F33" s="14">
        <f>MAX(0, D33-E33)</f>
        <v/>
      </c>
      <c r="G33" s="20" t="n"/>
      <c r="H33" s="13" t="n"/>
      <c r="I33" s="14">
        <f>MAX(0, G33-H33)</f>
        <v/>
      </c>
      <c r="J33" s="20" t="n"/>
      <c r="K33" s="13" t="n"/>
      <c r="L33" s="14">
        <f>MAX(0, J33-K33)</f>
        <v/>
      </c>
      <c r="M33" s="20" t="n"/>
      <c r="N33" s="13" t="n"/>
      <c r="O33" s="14">
        <f>MAX(0, M33-N33)</f>
        <v/>
      </c>
      <c r="P33" s="20" t="n"/>
      <c r="Q33" s="13" t="n"/>
      <c r="R33" s="14">
        <f>MAX(0, P33-Q33)</f>
        <v/>
      </c>
      <c r="S33" s="20" t="n"/>
      <c r="T33" s="13" t="n"/>
      <c r="U33" s="14">
        <f>MAX(0, S33-T33)</f>
        <v/>
      </c>
      <c r="V33" s="20" t="n"/>
      <c r="W33" s="13" t="n"/>
      <c r="X33" s="14">
        <f>MAX(0, V33-W33)</f>
        <v/>
      </c>
      <c r="Y33" s="20" t="n"/>
      <c r="Z33" s="13" t="n"/>
      <c r="AA33" s="14">
        <f>MAX(0, Y33-Z33)</f>
        <v/>
      </c>
      <c r="AB33" s="20" t="n"/>
      <c r="AC33" s="13" t="n"/>
      <c r="AD33" s="14">
        <f>MAX(0, AB33-AC33)</f>
        <v/>
      </c>
      <c r="AE33" s="15">
        <f>D33+G33+J33+M33+P33+S33+V33+Y33+AB33</f>
        <v/>
      </c>
      <c r="AF33" s="16">
        <f>E33+H33+K33+N33+Q33+T33+W33+Z33+AC33</f>
        <v/>
      </c>
      <c r="AG33" s="14">
        <f>F33+I33+L33+O33+R33+U33+X33+AA33+AD33</f>
        <v/>
      </c>
      <c r="AH33" s="17">
        <f>(F33*0.5) + (I33*0.5) + (L33*1.25) + (O33*1.25) + (R33*0.5) + (U33*2.0) + (X33*2.5) + (AA33*2.5) + (AD33*1.5)</f>
        <v/>
      </c>
    </row>
    <row r="34" ht="26" customHeight="1">
      <c r="A34" s="26" t="inlineStr">
        <is>
          <t>TOTAL MES:</t>
        </is>
      </c>
      <c r="B34" s="27" t="n"/>
      <c r="C34" s="28" t="n"/>
      <c r="D34" s="29">
        <f>SUM(D4:D33)</f>
        <v/>
      </c>
      <c r="E34" s="29">
        <f>SUM(E4:E33)</f>
        <v/>
      </c>
      <c r="F34" s="29">
        <f>SUM(F4:F33)</f>
        <v/>
      </c>
      <c r="G34" s="29">
        <f>SUM(G4:G33)</f>
        <v/>
      </c>
      <c r="H34" s="29">
        <f>SUM(H4:H33)</f>
        <v/>
      </c>
      <c r="I34" s="29">
        <f>SUM(I4:I33)</f>
        <v/>
      </c>
      <c r="J34" s="29">
        <f>SUM(J4:J33)</f>
        <v/>
      </c>
      <c r="K34" s="29">
        <f>SUM(K4:K33)</f>
        <v/>
      </c>
      <c r="L34" s="29">
        <f>SUM(L4:L33)</f>
        <v/>
      </c>
      <c r="M34" s="29">
        <f>SUM(M4:M33)</f>
        <v/>
      </c>
      <c r="N34" s="29">
        <f>SUM(N4:N33)</f>
        <v/>
      </c>
      <c r="O34" s="29">
        <f>SUM(O4:O33)</f>
        <v/>
      </c>
      <c r="P34" s="29">
        <f>SUM(P4:P33)</f>
        <v/>
      </c>
      <c r="Q34" s="29">
        <f>SUM(Q4:Q33)</f>
        <v/>
      </c>
      <c r="R34" s="29">
        <f>SUM(R4:R33)</f>
        <v/>
      </c>
      <c r="S34" s="29">
        <f>SUM(S4:S33)</f>
        <v/>
      </c>
      <c r="T34" s="29">
        <f>SUM(T4:T33)</f>
        <v/>
      </c>
      <c r="U34" s="29">
        <f>SUM(U4:U33)</f>
        <v/>
      </c>
      <c r="V34" s="29">
        <f>SUM(V4:V33)</f>
        <v/>
      </c>
      <c r="W34" s="29">
        <f>SUM(W4:W33)</f>
        <v/>
      </c>
      <c r="X34" s="29">
        <f>SUM(X4:X33)</f>
        <v/>
      </c>
      <c r="Y34" s="29">
        <f>SUM(Y4:Y33)</f>
        <v/>
      </c>
      <c r="Z34" s="29">
        <f>SUM(Z4:Z33)</f>
        <v/>
      </c>
      <c r="AA34" s="29">
        <f>SUM(AA4:AA33)</f>
        <v/>
      </c>
      <c r="AB34" s="29">
        <f>SUM(AB4:AB33)</f>
        <v/>
      </c>
      <c r="AC34" s="29">
        <f>SUM(AC4:AC33)</f>
        <v/>
      </c>
      <c r="AD34" s="29">
        <f>SUM(AD4:AD33)</f>
        <v/>
      </c>
      <c r="AE34" s="29">
        <f>SUM(AE4:AE33)</f>
        <v/>
      </c>
      <c r="AF34" s="29">
        <f>SUM(AF4:AF33)</f>
        <v/>
      </c>
      <c r="AG34" s="29">
        <f>SUM(AG4:AG33)</f>
        <v/>
      </c>
      <c r="AH34" s="30">
        <f>SUM(AH4:AH33)</f>
        <v/>
      </c>
    </row>
  </sheetData>
  <mergeCells count="13">
    <mergeCell ref="D2:F2"/>
    <mergeCell ref="G2:I2"/>
    <mergeCell ref="J2:L2"/>
    <mergeCell ref="Y2:AA2"/>
    <mergeCell ref="AB2:AD2"/>
    <mergeCell ref="P2:R2"/>
    <mergeCell ref="S2:U2"/>
    <mergeCell ref="A1:AL1"/>
    <mergeCell ref="A34:C34"/>
    <mergeCell ref="AE2:AH2"/>
    <mergeCell ref="M2:O2"/>
    <mergeCell ref="A2:C2"/>
    <mergeCell ref="V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2"/>
  <sheetViews>
    <sheetView showGridLines="1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8" customWidth="1" min="4" max="4"/>
    <col width="13" customWidth="1" min="5" max="5"/>
    <col width="25" customWidth="1" min="6" max="6"/>
    <col width="10" customWidth="1" min="7" max="7"/>
    <col width="14" customWidth="1" min="8" max="8"/>
    <col width="16" customWidth="1" min="9" max="9"/>
    <col width="16" customWidth="1" min="10" max="10"/>
    <col width="14" customWidth="1" min="11" max="11"/>
    <col width="16" customWidth="1" min="12" max="12"/>
    <col width="10" customWidth="1" min="13" max="13"/>
    <col width="15" customWidth="1" min="14" max="14"/>
  </cols>
  <sheetData>
    <row r="1" ht="32" customHeight="1">
      <c r="A1" s="5" t="inlineStr">
        <is>
          <t>REGISTRO DIARIO DE HORNEADO, SOBRANTE Y MERMAS (BASE DE DATOS SEPTIEMBRE 2026)</t>
        </is>
      </c>
    </row>
    <row r="2" ht="26" customHeight="1">
      <c r="A2" s="6" t="inlineStr">
        <is>
          <t>Fecha</t>
        </is>
      </c>
      <c r="B2" s="6" t="inlineStr">
        <is>
          <t>Día Semana</t>
        </is>
      </c>
      <c r="C2" s="6" t="inlineStr">
        <is>
          <t>Sucursal</t>
        </is>
      </c>
      <c r="D2" s="6" t="inlineStr">
        <is>
          <t>ID Prod</t>
        </is>
      </c>
      <c r="E2" s="6" t="inlineStr">
        <is>
          <t>Categoría</t>
        </is>
      </c>
      <c r="F2" s="6" t="inlineStr">
        <is>
          <t>Producto Terminado</t>
        </is>
      </c>
      <c r="G2" s="6" t="inlineStr">
        <is>
          <t>Uds/Lata</t>
        </is>
      </c>
      <c r="H2" s="6" t="inlineStr">
        <is>
          <t>Latas Horneadas</t>
        </is>
      </c>
      <c r="I2" s="6" t="inlineStr">
        <is>
          <t>Total Horneado (Piezas)</t>
        </is>
      </c>
      <c r="J2" s="6" t="inlineStr">
        <is>
          <t>Sobrante al Cierre (Piezas)</t>
        </is>
      </c>
      <c r="K2" s="6" t="inlineStr">
        <is>
          <t>Merma / Dañados</t>
        </is>
      </c>
      <c r="L2" s="6" t="inlineStr">
        <is>
          <t>Venta Estimada (Piezas)</t>
        </is>
      </c>
      <c r="M2" s="6" t="inlineStr">
        <is>
          <t>Precio (Q)</t>
        </is>
      </c>
      <c r="N2" s="6" t="inlineStr">
        <is>
          <t>Total Venta (Q)</t>
        </is>
      </c>
    </row>
    <row r="3" ht="19" customHeight="1">
      <c r="A3" s="31" t="inlineStr">
        <is>
          <t>01/09/2026</t>
        </is>
      </c>
      <c r="B3" s="31" t="inlineStr">
        <is>
          <t>Martes</t>
        </is>
      </c>
      <c r="C3" s="31" t="inlineStr">
        <is>
          <t>Sucursal Central</t>
        </is>
      </c>
      <c r="D3" s="31" t="n">
        <v>54</v>
      </c>
      <c r="E3" s="31" t="inlineStr">
        <is>
          <t>Pan</t>
        </is>
      </c>
      <c r="F3" s="32" t="inlineStr">
        <is>
          <t>Pan Francés Tradicional</t>
        </is>
      </c>
      <c r="G3" s="31" t="n">
        <v>36</v>
      </c>
      <c r="H3" s="33" t="n">
        <v>33</v>
      </c>
      <c r="I3" s="33">
        <f>IF(H3&gt;0, H3*G3, 1188)</f>
        <v/>
      </c>
      <c r="J3" s="33" t="n">
        <v>36</v>
      </c>
      <c r="K3" s="33" t="n">
        <v>0</v>
      </c>
      <c r="L3" s="34">
        <f>IF(I3&gt;0, MAX(0, I3-J3-K3), 0)</f>
        <v/>
      </c>
      <c r="M3" s="35" t="n">
        <v>0.5</v>
      </c>
      <c r="N3" s="36">
        <f>L3*M3</f>
        <v/>
      </c>
    </row>
    <row r="4" ht="19" customHeight="1">
      <c r="A4" s="31" t="inlineStr">
        <is>
          <t>01/09/2026</t>
        </is>
      </c>
      <c r="B4" s="31" t="inlineStr">
        <is>
          <t>Martes</t>
        </is>
      </c>
      <c r="C4" s="31" t="inlineStr">
        <is>
          <t>Sucursal Central</t>
        </is>
      </c>
      <c r="D4" s="31" t="n">
        <v>55</v>
      </c>
      <c r="E4" s="31" t="inlineStr">
        <is>
          <t>Pan Dulce</t>
        </is>
      </c>
      <c r="F4" s="32" t="inlineStr">
        <is>
          <t>Pan Dulce Pequeño</t>
        </is>
      </c>
      <c r="G4" s="31" t="n">
        <v>40</v>
      </c>
      <c r="H4" s="33" t="n">
        <v>15</v>
      </c>
      <c r="I4" s="33">
        <f>IF(H4&gt;0, H4*G4, 600)</f>
        <v/>
      </c>
      <c r="J4" s="33" t="n">
        <v>25</v>
      </c>
      <c r="K4" s="33" t="n">
        <v>0</v>
      </c>
      <c r="L4" s="34">
        <f>IF(I4&gt;0, MAX(0, I4-J4-K4), 0)</f>
        <v/>
      </c>
      <c r="M4" s="35" t="n">
        <v>0.5</v>
      </c>
      <c r="N4" s="36">
        <f>L4*M4</f>
        <v/>
      </c>
    </row>
    <row r="5" ht="19" customHeight="1">
      <c r="A5" s="31" t="inlineStr">
        <is>
          <t>01/09/2026</t>
        </is>
      </c>
      <c r="B5" s="31" t="inlineStr">
        <is>
          <t>Martes</t>
        </is>
      </c>
      <c r="C5" s="31" t="inlineStr">
        <is>
          <t>Sucursal Central</t>
        </is>
      </c>
      <c r="D5" s="31" t="n">
        <v>56</v>
      </c>
      <c r="E5" s="31" t="inlineStr">
        <is>
          <t>Pan Dulce</t>
        </is>
      </c>
      <c r="F5" s="32" t="inlineStr">
        <is>
          <t>Pan Dulce Grande</t>
        </is>
      </c>
      <c r="G5" s="31" t="n">
        <v>20</v>
      </c>
      <c r="H5" s="33" t="n">
        <v>15</v>
      </c>
      <c r="I5" s="33">
        <f>IF(H5&gt;0, H5*G5, 300)</f>
        <v/>
      </c>
      <c r="J5" s="33" t="n">
        <v>15</v>
      </c>
      <c r="K5" s="33" t="n">
        <v>0</v>
      </c>
      <c r="L5" s="34">
        <f>IF(I5&gt;0, MAX(0, I5-J5-K5), 0)</f>
        <v/>
      </c>
      <c r="M5" s="35" t="n">
        <v>1.25</v>
      </c>
      <c r="N5" s="36">
        <f>L5*M5</f>
        <v/>
      </c>
    </row>
    <row r="6" ht="19" customHeight="1">
      <c r="A6" s="31" t="inlineStr">
        <is>
          <t>01/09/2026</t>
        </is>
      </c>
      <c r="B6" s="31" t="inlineStr">
        <is>
          <t>Martes</t>
        </is>
      </c>
      <c r="C6" s="31" t="inlineStr">
        <is>
          <t>Sucursal Central</t>
        </is>
      </c>
      <c r="D6" s="31" t="n">
        <v>57</v>
      </c>
      <c r="E6" s="31" t="inlineStr">
        <is>
          <t>Galletas</t>
        </is>
      </c>
      <c r="F6" s="32" t="inlineStr">
        <is>
          <t>Pan Galleta</t>
        </is>
      </c>
      <c r="G6" s="31" t="n">
        <v>20</v>
      </c>
      <c r="H6" s="33" t="n">
        <v>10</v>
      </c>
      <c r="I6" s="33">
        <f>IF(H6&gt;0, H6*G6, 200)</f>
        <v/>
      </c>
      <c r="J6" s="33" t="n">
        <v>10</v>
      </c>
      <c r="K6" s="33" t="n">
        <v>0</v>
      </c>
      <c r="L6" s="34">
        <f>IF(I6&gt;0, MAX(0, I6-J6-K6), 0)</f>
        <v/>
      </c>
      <c r="M6" s="35" t="n">
        <v>1.25</v>
      </c>
      <c r="N6" s="36">
        <f>L6*M6</f>
        <v/>
      </c>
    </row>
    <row r="7" ht="19" customHeight="1">
      <c r="A7" s="31" t="inlineStr">
        <is>
          <t>01/09/2026</t>
        </is>
      </c>
      <c r="B7" s="31" t="inlineStr">
        <is>
          <t>Martes</t>
        </is>
      </c>
      <c r="C7" s="31" t="inlineStr">
        <is>
          <t>Sucursal Central</t>
        </is>
      </c>
      <c r="D7" s="31" t="n">
        <v>58</v>
      </c>
      <c r="E7" s="31" t="inlineStr">
        <is>
          <t>Galletas</t>
        </is>
      </c>
      <c r="F7" s="32" t="inlineStr">
        <is>
          <t>Champurrada Pequeña</t>
        </is>
      </c>
      <c r="G7" s="31" t="n">
        <v>24</v>
      </c>
      <c r="H7" s="33" t="n">
        <v>10</v>
      </c>
      <c r="I7" s="33">
        <f>IF(H7&gt;0, H7*G7, 240)</f>
        <v/>
      </c>
      <c r="J7" s="33" t="n">
        <v>12</v>
      </c>
      <c r="K7" s="33" t="n">
        <v>0</v>
      </c>
      <c r="L7" s="34">
        <f>IF(I7&gt;0, MAX(0, I7-J7-K7), 0)</f>
        <v/>
      </c>
      <c r="M7" s="35" t="n">
        <v>0.5</v>
      </c>
      <c r="N7" s="36">
        <f>L7*M7</f>
        <v/>
      </c>
    </row>
    <row r="8" ht="19" customHeight="1">
      <c r="A8" s="31" t="inlineStr">
        <is>
          <t>01/09/2026</t>
        </is>
      </c>
      <c r="B8" s="31" t="inlineStr">
        <is>
          <t>Martes</t>
        </is>
      </c>
      <c r="C8" s="31" t="inlineStr">
        <is>
          <t>Sucursal Central</t>
        </is>
      </c>
      <c r="D8" s="31" t="n">
        <v>59</v>
      </c>
      <c r="E8" s="31" t="inlineStr">
        <is>
          <t>Galletas</t>
        </is>
      </c>
      <c r="F8" s="32" t="inlineStr">
        <is>
          <t>Champurrada Grande</t>
        </is>
      </c>
      <c r="G8" s="31" t="n">
        <v>15</v>
      </c>
      <c r="H8" s="33" t="n">
        <v>10</v>
      </c>
      <c r="I8" s="33">
        <f>IF(H8&gt;0, H8*G8, 150)</f>
        <v/>
      </c>
      <c r="J8" s="33" t="n">
        <v>8</v>
      </c>
      <c r="K8" s="33" t="n">
        <v>0</v>
      </c>
      <c r="L8" s="34">
        <f>IF(I8&gt;0, MAX(0, I8-J8-K8), 0)</f>
        <v/>
      </c>
      <c r="M8" s="35" t="n">
        <v>1.25</v>
      </c>
      <c r="N8" s="36">
        <f>L8*M8</f>
        <v/>
      </c>
    </row>
    <row r="9" ht="19" customHeight="1">
      <c r="A9" s="31" t="inlineStr">
        <is>
          <t>01/09/2026</t>
        </is>
      </c>
      <c r="B9" s="31" t="inlineStr">
        <is>
          <t>Martes</t>
        </is>
      </c>
      <c r="C9" s="31" t="inlineStr">
        <is>
          <t>Sucursal Central</t>
        </is>
      </c>
      <c r="D9" s="31" t="n">
        <v>60</v>
      </c>
      <c r="E9" s="31" t="inlineStr">
        <is>
          <t>Reposteria</t>
        </is>
      </c>
      <c r="F9" s="32" t="inlineStr">
        <is>
          <t>Cubilete de Vainilla</t>
        </is>
      </c>
      <c r="G9" s="31" t="n">
        <v>30</v>
      </c>
      <c r="H9" s="33" t="n">
        <v>4</v>
      </c>
      <c r="I9" s="33">
        <f>IF(H9&gt;0, H9*G9, 120)</f>
        <v/>
      </c>
      <c r="J9" s="33" t="n">
        <v>6</v>
      </c>
      <c r="K9" s="33" t="n">
        <v>0</v>
      </c>
      <c r="L9" s="34">
        <f>IF(I9&gt;0, MAX(0, I9-J9-K9), 0)</f>
        <v/>
      </c>
      <c r="M9" s="35" t="n">
        <v>2</v>
      </c>
      <c r="N9" s="36">
        <f>L9*M9</f>
        <v/>
      </c>
    </row>
    <row r="10" ht="19" customHeight="1">
      <c r="A10" s="31" t="inlineStr">
        <is>
          <t>01/09/2026</t>
        </is>
      </c>
      <c r="B10" s="31" t="inlineStr">
        <is>
          <t>Martes</t>
        </is>
      </c>
      <c r="C10" s="31" t="inlineStr">
        <is>
          <t>Sucursal Central</t>
        </is>
      </c>
      <c r="D10" s="31" t="n">
        <v>61</v>
      </c>
      <c r="E10" s="31" t="inlineStr">
        <is>
          <t>Reposteria</t>
        </is>
      </c>
      <c r="F10" s="32" t="inlineStr">
        <is>
          <t>Cubilete de Banano</t>
        </is>
      </c>
      <c r="G10" s="31" t="n">
        <v>30</v>
      </c>
      <c r="H10" s="33" t="n">
        <v>4</v>
      </c>
      <c r="I10" s="33">
        <f>IF(H10&gt;0, H10*G10, 120)</f>
        <v/>
      </c>
      <c r="J10" s="33" t="n">
        <v>5</v>
      </c>
      <c r="K10" s="33" t="n">
        <v>0</v>
      </c>
      <c r="L10" s="34">
        <f>IF(I10&gt;0, MAX(0, I10-J10-K10), 0)</f>
        <v/>
      </c>
      <c r="M10" s="35" t="n">
        <v>2</v>
      </c>
      <c r="N10" s="36">
        <f>L10*M10</f>
        <v/>
      </c>
    </row>
    <row r="11" ht="19" customHeight="1">
      <c r="A11" s="31" t="inlineStr">
        <is>
          <t>01/09/2026</t>
        </is>
      </c>
      <c r="B11" s="31" t="inlineStr">
        <is>
          <t>Martes</t>
        </is>
      </c>
      <c r="C11" s="31" t="inlineStr">
        <is>
          <t>Sucursal Central</t>
        </is>
      </c>
      <c r="D11" s="31" t="n">
        <v>62</v>
      </c>
      <c r="E11" s="31" t="inlineStr">
        <is>
          <t>Reposteria</t>
        </is>
      </c>
      <c r="F11" s="32" t="inlineStr">
        <is>
          <t>Empanada de Piña</t>
        </is>
      </c>
      <c r="G11" s="31" t="n">
        <v>16</v>
      </c>
      <c r="H11" s="33" t="n">
        <v>6</v>
      </c>
      <c r="I11" s="33">
        <f>IF(H11&gt;0, H11*G11, 96)</f>
        <v/>
      </c>
      <c r="J11" s="33" t="n">
        <v>4</v>
      </c>
      <c r="K11" s="33" t="n">
        <v>0</v>
      </c>
      <c r="L11" s="34">
        <f>IF(I11&gt;0, MAX(0, I11-J11-K11), 0)</f>
        <v/>
      </c>
      <c r="M11" s="35" t="n">
        <v>2.5</v>
      </c>
      <c r="N11" s="36">
        <f>L11*M11</f>
        <v/>
      </c>
    </row>
    <row r="12" ht="19" customHeight="1">
      <c r="A12" s="31" t="inlineStr">
        <is>
          <t>01/09/2026</t>
        </is>
      </c>
      <c r="B12" s="31" t="inlineStr">
        <is>
          <t>Martes</t>
        </is>
      </c>
      <c r="C12" s="31" t="inlineStr">
        <is>
          <t>Sucursal Central</t>
        </is>
      </c>
      <c r="D12" s="31" t="n">
        <v>63</v>
      </c>
      <c r="E12" s="31" t="inlineStr">
        <is>
          <t>Reposteria</t>
        </is>
      </c>
      <c r="F12" s="32" t="inlineStr">
        <is>
          <t>Empanada de Manjar</t>
        </is>
      </c>
      <c r="G12" s="31" t="n">
        <v>16</v>
      </c>
      <c r="H12" s="33" t="n">
        <v>6</v>
      </c>
      <c r="I12" s="33">
        <f>IF(H12&gt;0, H12*G12, 96)</f>
        <v/>
      </c>
      <c r="J12" s="33" t="n">
        <v>4</v>
      </c>
      <c r="K12" s="33" t="n">
        <v>0</v>
      </c>
      <c r="L12" s="34">
        <f>IF(I12&gt;0, MAX(0, I12-J12-K12), 0)</f>
        <v/>
      </c>
      <c r="M12" s="35" t="n">
        <v>2.5</v>
      </c>
      <c r="N12" s="36">
        <f>L12*M12</f>
        <v/>
      </c>
    </row>
    <row r="13" ht="19" customHeight="1">
      <c r="A13" s="31" t="inlineStr">
        <is>
          <t>01/09/2026</t>
        </is>
      </c>
      <c r="B13" s="31" t="inlineStr">
        <is>
          <t>Martes</t>
        </is>
      </c>
      <c r="C13" s="31" t="inlineStr">
        <is>
          <t>Sucursal Central</t>
        </is>
      </c>
      <c r="D13" s="31" t="n">
        <v>64</v>
      </c>
      <c r="E13" s="31" t="inlineStr">
        <is>
          <t>Galletas</t>
        </is>
      </c>
      <c r="F13" s="32" t="inlineStr">
        <is>
          <t>Polvorosa Tradicional</t>
        </is>
      </c>
      <c r="G13" s="31" t="n">
        <v>15</v>
      </c>
      <c r="H13" s="33" t="n">
        <v>10</v>
      </c>
      <c r="I13" s="33">
        <f>IF(H13&gt;0, H13*G13, 150)</f>
        <v/>
      </c>
      <c r="J13" s="33" t="n">
        <v>10</v>
      </c>
      <c r="K13" s="33" t="n">
        <v>0</v>
      </c>
      <c r="L13" s="34">
        <f>IF(I13&gt;0, MAX(0, I13-J13-K13), 0)</f>
        <v/>
      </c>
      <c r="M13" s="35" t="n">
        <v>1.25</v>
      </c>
      <c r="N13" s="36">
        <f>L13*M13</f>
        <v/>
      </c>
    </row>
    <row r="14" ht="19" customHeight="1">
      <c r="A14" s="31" t="inlineStr">
        <is>
          <t>01/09/2026</t>
        </is>
      </c>
      <c r="B14" s="31" t="inlineStr">
        <is>
          <t>Martes</t>
        </is>
      </c>
      <c r="C14" s="31" t="inlineStr">
        <is>
          <t>Sucursal Central</t>
        </is>
      </c>
      <c r="D14" s="31" t="n">
        <v>65</v>
      </c>
      <c r="E14" s="31" t="inlineStr">
        <is>
          <t>Donas</t>
        </is>
      </c>
      <c r="F14" s="32" t="inlineStr">
        <is>
          <t>Dona Simple Glaseada</t>
        </is>
      </c>
      <c r="G14" s="31" t="n">
        <v>24</v>
      </c>
      <c r="H14" s="33" t="n">
        <v>5</v>
      </c>
      <c r="I14" s="33">
        <f>IF(H14&gt;0, H14*G14, 120)</f>
        <v/>
      </c>
      <c r="J14" s="33" t="n">
        <v>8</v>
      </c>
      <c r="K14" s="33" t="n">
        <v>0</v>
      </c>
      <c r="L14" s="34">
        <f>IF(I14&gt;0, MAX(0, I14-J14-K14), 0)</f>
        <v/>
      </c>
      <c r="M14" s="35" t="n">
        <v>2.5</v>
      </c>
      <c r="N14" s="36">
        <f>L14*M14</f>
        <v/>
      </c>
    </row>
    <row r="15" ht="19" customHeight="1">
      <c r="A15" s="31" t="inlineStr">
        <is>
          <t>01/09/2026</t>
        </is>
      </c>
      <c r="B15" s="31" t="inlineStr">
        <is>
          <t>Martes</t>
        </is>
      </c>
      <c r="C15" s="31" t="inlineStr">
        <is>
          <t>Sucursal Central</t>
        </is>
      </c>
      <c r="D15" s="31" t="n">
        <v>66</v>
      </c>
      <c r="E15" s="31" t="inlineStr">
        <is>
          <t>Donas</t>
        </is>
      </c>
      <c r="F15" s="32" t="inlineStr">
        <is>
          <t>Dona Rellena de Manjar</t>
        </is>
      </c>
      <c r="G15" s="31" t="n">
        <v>24</v>
      </c>
      <c r="H15" s="33" t="n">
        <v>5</v>
      </c>
      <c r="I15" s="33">
        <f>IF(H15&gt;0, H15*G15, 120)</f>
        <v/>
      </c>
      <c r="J15" s="33" t="n">
        <v>6</v>
      </c>
      <c r="K15" s="33" t="n">
        <v>0</v>
      </c>
      <c r="L15" s="34">
        <f>IF(I15&gt;0, MAX(0, I15-J15-K15), 0)</f>
        <v/>
      </c>
      <c r="M15" s="35" t="n">
        <v>4</v>
      </c>
      <c r="N15" s="36">
        <f>L15*M15</f>
        <v/>
      </c>
    </row>
    <row r="16" ht="19" customHeight="1">
      <c r="A16" s="31" t="inlineStr">
        <is>
          <t>01/09/2026</t>
        </is>
      </c>
      <c r="B16" s="31" t="inlineStr">
        <is>
          <t>Martes</t>
        </is>
      </c>
      <c r="C16" s="31" t="inlineStr">
        <is>
          <t>Sucursal Central</t>
        </is>
      </c>
      <c r="D16" s="31" t="n">
        <v>67</v>
      </c>
      <c r="E16" s="31" t="inlineStr">
        <is>
          <t>Donas</t>
        </is>
      </c>
      <c r="F16" s="32" t="inlineStr">
        <is>
          <t>Dona Rellena de Fresa</t>
        </is>
      </c>
      <c r="G16" s="31" t="n">
        <v>24</v>
      </c>
      <c r="H16" s="33" t="n">
        <v>5</v>
      </c>
      <c r="I16" s="33">
        <f>IF(H16&gt;0, H16*G16, 120)</f>
        <v/>
      </c>
      <c r="J16" s="33" t="n">
        <v>6</v>
      </c>
      <c r="K16" s="33" t="n">
        <v>0</v>
      </c>
      <c r="L16" s="34">
        <f>IF(I16&gt;0, MAX(0, I16-J16-K16), 0)</f>
        <v/>
      </c>
      <c r="M16" s="35" t="n">
        <v>4</v>
      </c>
      <c r="N16" s="36">
        <f>L16*M16</f>
        <v/>
      </c>
    </row>
    <row r="17" ht="19" customHeight="1">
      <c r="A17" s="31" t="inlineStr">
        <is>
          <t>01/09/2026</t>
        </is>
      </c>
      <c r="B17" s="31" t="inlineStr">
        <is>
          <t>Martes</t>
        </is>
      </c>
      <c r="C17" s="31" t="inlineStr">
        <is>
          <t>Sucursal Central</t>
        </is>
      </c>
      <c r="D17" s="31" t="n">
        <v>68</v>
      </c>
      <c r="E17" s="31" t="inlineStr">
        <is>
          <t>Pan Dulce</t>
        </is>
      </c>
      <c r="F17" s="32" t="inlineStr">
        <is>
          <t>Campechana</t>
        </is>
      </c>
      <c r="G17" s="31" t="n">
        <v>20</v>
      </c>
      <c r="H17" s="33" t="n">
        <v>10</v>
      </c>
      <c r="I17" s="33">
        <f>IF(H17&gt;0, H17*G17, 200)</f>
        <v/>
      </c>
      <c r="J17" s="33" t="n">
        <v>12</v>
      </c>
      <c r="K17" s="33" t="n">
        <v>0</v>
      </c>
      <c r="L17" s="34">
        <f>IF(I17&gt;0, MAX(0, I17-J17-K17), 0)</f>
        <v/>
      </c>
      <c r="M17" s="35" t="n">
        <v>1.25</v>
      </c>
      <c r="N17" s="36">
        <f>L17*M17</f>
        <v/>
      </c>
    </row>
    <row r="18" ht="19" customHeight="1">
      <c r="A18" s="31" t="inlineStr">
        <is>
          <t>01/09/2026</t>
        </is>
      </c>
      <c r="B18" s="31" t="inlineStr">
        <is>
          <t>Martes</t>
        </is>
      </c>
      <c r="C18" s="31" t="inlineStr">
        <is>
          <t>Sucursal Central</t>
        </is>
      </c>
      <c r="D18" s="31" t="n">
        <v>69</v>
      </c>
      <c r="E18" s="31" t="inlineStr">
        <is>
          <t>Pan Dulce</t>
        </is>
      </c>
      <c r="F18" s="32" t="inlineStr">
        <is>
          <t>Pasitas</t>
        </is>
      </c>
      <c r="G18" s="31" t="n">
        <v>30</v>
      </c>
      <c r="H18" s="33" t="n">
        <v>8</v>
      </c>
      <c r="I18" s="33">
        <f>IF(H18&gt;0, H18*G18, 240)</f>
        <v/>
      </c>
      <c r="J18" s="33" t="n">
        <v>15</v>
      </c>
      <c r="K18" s="33" t="n">
        <v>0</v>
      </c>
      <c r="L18" s="34">
        <f>IF(I18&gt;0, MAX(0, I18-J18-K18), 0)</f>
        <v/>
      </c>
      <c r="M18" s="35" t="n">
        <v>0.75</v>
      </c>
      <c r="N18" s="36">
        <f>L18*M18</f>
        <v/>
      </c>
    </row>
    <row r="19" ht="19" customHeight="1">
      <c r="A19" s="31" t="inlineStr">
        <is>
          <t>01/09/2026</t>
        </is>
      </c>
      <c r="B19" s="31" t="inlineStr">
        <is>
          <t>Martes</t>
        </is>
      </c>
      <c r="C19" s="31" t="inlineStr">
        <is>
          <t>Sucursal Central</t>
        </is>
      </c>
      <c r="D19" s="31" t="n">
        <v>70</v>
      </c>
      <c r="E19" s="31" t="inlineStr">
        <is>
          <t>Reposteria</t>
        </is>
      </c>
      <c r="F19" s="32" t="inlineStr">
        <is>
          <t>Cortada de Fresa</t>
        </is>
      </c>
      <c r="G19" s="31" t="n">
        <v>14</v>
      </c>
      <c r="H19" s="33" t="n">
        <v>6</v>
      </c>
      <c r="I19" s="33">
        <f>IF(H19&gt;0, H19*G19, 84)</f>
        <v/>
      </c>
      <c r="J19" s="33" t="n">
        <v>4</v>
      </c>
      <c r="K19" s="33" t="n">
        <v>0</v>
      </c>
      <c r="L19" s="34">
        <f>IF(I19&gt;0, MAX(0, I19-J19-K19), 0)</f>
        <v/>
      </c>
      <c r="M19" s="35" t="n">
        <v>2.5</v>
      </c>
      <c r="N19" s="36">
        <f>L19*M19</f>
        <v/>
      </c>
    </row>
    <row r="20" ht="19" customHeight="1">
      <c r="A20" s="31" t="inlineStr">
        <is>
          <t>01/09/2026</t>
        </is>
      </c>
      <c r="B20" s="31" t="inlineStr">
        <is>
          <t>Martes</t>
        </is>
      </c>
      <c r="C20" s="31" t="inlineStr">
        <is>
          <t>Sucursal Central</t>
        </is>
      </c>
      <c r="D20" s="31" t="n">
        <v>71</v>
      </c>
      <c r="E20" s="31" t="inlineStr">
        <is>
          <t>Reposteria</t>
        </is>
      </c>
      <c r="F20" s="32" t="inlineStr">
        <is>
          <t>Cortada de Chocolate</t>
        </is>
      </c>
      <c r="G20" s="31" t="n">
        <v>14</v>
      </c>
      <c r="H20" s="33" t="n">
        <v>6</v>
      </c>
      <c r="I20" s="33">
        <f>IF(H20&gt;0, H20*G20, 84)</f>
        <v/>
      </c>
      <c r="J20" s="33" t="n">
        <v>4</v>
      </c>
      <c r="K20" s="33" t="n">
        <v>0</v>
      </c>
      <c r="L20" s="34">
        <f>IF(I20&gt;0, MAX(0, I20-J20-K20), 0)</f>
        <v/>
      </c>
      <c r="M20" s="35" t="n">
        <v>2.5</v>
      </c>
      <c r="N20" s="36">
        <f>L20*M20</f>
        <v/>
      </c>
    </row>
    <row r="21" ht="19" customHeight="1">
      <c r="A21" s="37" t="inlineStr">
        <is>
          <t>02/09/2026</t>
        </is>
      </c>
      <c r="B21" s="37" t="inlineStr">
        <is>
          <t>Miércoles</t>
        </is>
      </c>
      <c r="C21" s="37" t="inlineStr">
        <is>
          <t>Sucursal Central</t>
        </is>
      </c>
      <c r="D21" s="37" t="n">
        <v>54</v>
      </c>
      <c r="E21" s="37" t="inlineStr">
        <is>
          <t>Pan</t>
        </is>
      </c>
      <c r="F21" s="38" t="inlineStr">
        <is>
          <t>Pan Francés Tradicional</t>
        </is>
      </c>
      <c r="G21" s="37" t="n">
        <v>36</v>
      </c>
      <c r="H21" s="39" t="n"/>
      <c r="I21" s="39">
        <f>IF(H21&gt;0, H21*G21, "")</f>
        <v/>
      </c>
      <c r="J21" s="39" t="n"/>
      <c r="K21" s="39" t="n">
        <v>0</v>
      </c>
      <c r="L21" s="40">
        <f>IF(I21&gt;0, MAX(0, I21-J21-K21), 0)</f>
        <v/>
      </c>
      <c r="M21" s="41" t="n">
        <v>0.5</v>
      </c>
      <c r="N21" s="42">
        <f>L21*M21</f>
        <v/>
      </c>
    </row>
    <row r="22" ht="19" customHeight="1">
      <c r="A22" s="37" t="inlineStr">
        <is>
          <t>02/09/2026</t>
        </is>
      </c>
      <c r="B22" s="37" t="inlineStr">
        <is>
          <t>Miércoles</t>
        </is>
      </c>
      <c r="C22" s="37" t="inlineStr">
        <is>
          <t>Sucursal Central</t>
        </is>
      </c>
      <c r="D22" s="37" t="n">
        <v>55</v>
      </c>
      <c r="E22" s="37" t="inlineStr">
        <is>
          <t>Pan Dulce</t>
        </is>
      </c>
      <c r="F22" s="38" t="inlineStr">
        <is>
          <t>Pan Dulce Pequeño</t>
        </is>
      </c>
      <c r="G22" s="37" t="n">
        <v>40</v>
      </c>
      <c r="H22" s="39" t="n"/>
      <c r="I22" s="39">
        <f>IF(H22&gt;0, H22*G22, "")</f>
        <v/>
      </c>
      <c r="J22" s="39" t="n"/>
      <c r="K22" s="39" t="n">
        <v>0</v>
      </c>
      <c r="L22" s="40">
        <f>IF(I22&gt;0, MAX(0, I22-J22-K22), 0)</f>
        <v/>
      </c>
      <c r="M22" s="41" t="n">
        <v>0.5</v>
      </c>
      <c r="N22" s="42">
        <f>L22*M22</f>
        <v/>
      </c>
    </row>
    <row r="23" ht="19" customHeight="1">
      <c r="A23" s="37" t="inlineStr">
        <is>
          <t>02/09/2026</t>
        </is>
      </c>
      <c r="B23" s="37" t="inlineStr">
        <is>
          <t>Miércoles</t>
        </is>
      </c>
      <c r="C23" s="37" t="inlineStr">
        <is>
          <t>Sucursal Central</t>
        </is>
      </c>
      <c r="D23" s="37" t="n">
        <v>56</v>
      </c>
      <c r="E23" s="37" t="inlineStr">
        <is>
          <t>Pan Dulce</t>
        </is>
      </c>
      <c r="F23" s="38" t="inlineStr">
        <is>
          <t>Pan Dulce Grande</t>
        </is>
      </c>
      <c r="G23" s="37" t="n">
        <v>20</v>
      </c>
      <c r="H23" s="39" t="n"/>
      <c r="I23" s="39">
        <f>IF(H23&gt;0, H23*G23, "")</f>
        <v/>
      </c>
      <c r="J23" s="39" t="n"/>
      <c r="K23" s="39" t="n">
        <v>0</v>
      </c>
      <c r="L23" s="40">
        <f>IF(I23&gt;0, MAX(0, I23-J23-K23), 0)</f>
        <v/>
      </c>
      <c r="M23" s="41" t="n">
        <v>1.25</v>
      </c>
      <c r="N23" s="42">
        <f>L23*M23</f>
        <v/>
      </c>
    </row>
    <row r="24" ht="19" customHeight="1">
      <c r="A24" s="37" t="inlineStr">
        <is>
          <t>02/09/2026</t>
        </is>
      </c>
      <c r="B24" s="37" t="inlineStr">
        <is>
          <t>Miércoles</t>
        </is>
      </c>
      <c r="C24" s="37" t="inlineStr">
        <is>
          <t>Sucursal Central</t>
        </is>
      </c>
      <c r="D24" s="37" t="n">
        <v>57</v>
      </c>
      <c r="E24" s="37" t="inlineStr">
        <is>
          <t>Galletas</t>
        </is>
      </c>
      <c r="F24" s="38" t="inlineStr">
        <is>
          <t>Pan Galleta</t>
        </is>
      </c>
      <c r="G24" s="37" t="n">
        <v>20</v>
      </c>
      <c r="H24" s="39" t="n"/>
      <c r="I24" s="39">
        <f>IF(H24&gt;0, H24*G24, "")</f>
        <v/>
      </c>
      <c r="J24" s="39" t="n"/>
      <c r="K24" s="39" t="n">
        <v>0</v>
      </c>
      <c r="L24" s="40">
        <f>IF(I24&gt;0, MAX(0, I24-J24-K24), 0)</f>
        <v/>
      </c>
      <c r="M24" s="41" t="n">
        <v>1.25</v>
      </c>
      <c r="N24" s="42">
        <f>L24*M24</f>
        <v/>
      </c>
    </row>
    <row r="25" ht="19" customHeight="1">
      <c r="A25" s="37" t="inlineStr">
        <is>
          <t>02/09/2026</t>
        </is>
      </c>
      <c r="B25" s="37" t="inlineStr">
        <is>
          <t>Miércoles</t>
        </is>
      </c>
      <c r="C25" s="37" t="inlineStr">
        <is>
          <t>Sucursal Central</t>
        </is>
      </c>
      <c r="D25" s="37" t="n">
        <v>58</v>
      </c>
      <c r="E25" s="37" t="inlineStr">
        <is>
          <t>Galletas</t>
        </is>
      </c>
      <c r="F25" s="38" t="inlineStr">
        <is>
          <t>Champurrada Pequeña</t>
        </is>
      </c>
      <c r="G25" s="37" t="n">
        <v>24</v>
      </c>
      <c r="H25" s="39" t="n"/>
      <c r="I25" s="39">
        <f>IF(H25&gt;0, H25*G25, "")</f>
        <v/>
      </c>
      <c r="J25" s="39" t="n"/>
      <c r="K25" s="39" t="n">
        <v>0</v>
      </c>
      <c r="L25" s="40">
        <f>IF(I25&gt;0, MAX(0, I25-J25-K25), 0)</f>
        <v/>
      </c>
      <c r="M25" s="41" t="n">
        <v>0.5</v>
      </c>
      <c r="N25" s="42">
        <f>L25*M25</f>
        <v/>
      </c>
    </row>
    <row r="26" ht="19" customHeight="1">
      <c r="A26" s="37" t="inlineStr">
        <is>
          <t>02/09/2026</t>
        </is>
      </c>
      <c r="B26" s="37" t="inlineStr">
        <is>
          <t>Miércoles</t>
        </is>
      </c>
      <c r="C26" s="37" t="inlineStr">
        <is>
          <t>Sucursal Central</t>
        </is>
      </c>
      <c r="D26" s="37" t="n">
        <v>59</v>
      </c>
      <c r="E26" s="37" t="inlineStr">
        <is>
          <t>Galletas</t>
        </is>
      </c>
      <c r="F26" s="38" t="inlineStr">
        <is>
          <t>Champurrada Grande</t>
        </is>
      </c>
      <c r="G26" s="37" t="n">
        <v>15</v>
      </c>
      <c r="H26" s="39" t="n"/>
      <c r="I26" s="39">
        <f>IF(H26&gt;0, H26*G26, "")</f>
        <v/>
      </c>
      <c r="J26" s="39" t="n"/>
      <c r="K26" s="39" t="n">
        <v>0</v>
      </c>
      <c r="L26" s="40">
        <f>IF(I26&gt;0, MAX(0, I26-J26-K26), 0)</f>
        <v/>
      </c>
      <c r="M26" s="41" t="n">
        <v>1.25</v>
      </c>
      <c r="N26" s="42">
        <f>L26*M26</f>
        <v/>
      </c>
    </row>
    <row r="27" ht="19" customHeight="1">
      <c r="A27" s="37" t="inlineStr">
        <is>
          <t>02/09/2026</t>
        </is>
      </c>
      <c r="B27" s="37" t="inlineStr">
        <is>
          <t>Miércoles</t>
        </is>
      </c>
      <c r="C27" s="37" t="inlineStr">
        <is>
          <t>Sucursal Central</t>
        </is>
      </c>
      <c r="D27" s="37" t="n">
        <v>60</v>
      </c>
      <c r="E27" s="37" t="inlineStr">
        <is>
          <t>Reposteria</t>
        </is>
      </c>
      <c r="F27" s="38" t="inlineStr">
        <is>
          <t>Cubilete de Vainilla</t>
        </is>
      </c>
      <c r="G27" s="37" t="n">
        <v>30</v>
      </c>
      <c r="H27" s="39" t="n"/>
      <c r="I27" s="39">
        <f>IF(H27&gt;0, H27*G27, "")</f>
        <v/>
      </c>
      <c r="J27" s="39" t="n"/>
      <c r="K27" s="39" t="n">
        <v>0</v>
      </c>
      <c r="L27" s="40">
        <f>IF(I27&gt;0, MAX(0, I27-J27-K27), 0)</f>
        <v/>
      </c>
      <c r="M27" s="41" t="n">
        <v>2</v>
      </c>
      <c r="N27" s="42">
        <f>L27*M27</f>
        <v/>
      </c>
    </row>
    <row r="28" ht="19" customHeight="1">
      <c r="A28" s="37" t="inlineStr">
        <is>
          <t>02/09/2026</t>
        </is>
      </c>
      <c r="B28" s="37" t="inlineStr">
        <is>
          <t>Miércoles</t>
        </is>
      </c>
      <c r="C28" s="37" t="inlineStr">
        <is>
          <t>Sucursal Central</t>
        </is>
      </c>
      <c r="D28" s="37" t="n">
        <v>61</v>
      </c>
      <c r="E28" s="37" t="inlineStr">
        <is>
          <t>Reposteria</t>
        </is>
      </c>
      <c r="F28" s="38" t="inlineStr">
        <is>
          <t>Cubilete de Banano</t>
        </is>
      </c>
      <c r="G28" s="37" t="n">
        <v>30</v>
      </c>
      <c r="H28" s="39" t="n"/>
      <c r="I28" s="39">
        <f>IF(H28&gt;0, H28*G28, "")</f>
        <v/>
      </c>
      <c r="J28" s="39" t="n"/>
      <c r="K28" s="39" t="n">
        <v>0</v>
      </c>
      <c r="L28" s="40">
        <f>IF(I28&gt;0, MAX(0, I28-J28-K28), 0)</f>
        <v/>
      </c>
      <c r="M28" s="41" t="n">
        <v>2</v>
      </c>
      <c r="N28" s="42">
        <f>L28*M28</f>
        <v/>
      </c>
    </row>
    <row r="29" ht="19" customHeight="1">
      <c r="A29" s="37" t="inlineStr">
        <is>
          <t>02/09/2026</t>
        </is>
      </c>
      <c r="B29" s="37" t="inlineStr">
        <is>
          <t>Miércoles</t>
        </is>
      </c>
      <c r="C29" s="37" t="inlineStr">
        <is>
          <t>Sucursal Central</t>
        </is>
      </c>
      <c r="D29" s="37" t="n">
        <v>62</v>
      </c>
      <c r="E29" s="37" t="inlineStr">
        <is>
          <t>Reposteria</t>
        </is>
      </c>
      <c r="F29" s="38" t="inlineStr">
        <is>
          <t>Empanada de Piña</t>
        </is>
      </c>
      <c r="G29" s="37" t="n">
        <v>16</v>
      </c>
      <c r="H29" s="39" t="n"/>
      <c r="I29" s="39">
        <f>IF(H29&gt;0, H29*G29, "")</f>
        <v/>
      </c>
      <c r="J29" s="39" t="n"/>
      <c r="K29" s="39" t="n">
        <v>0</v>
      </c>
      <c r="L29" s="40">
        <f>IF(I29&gt;0, MAX(0, I29-J29-K29), 0)</f>
        <v/>
      </c>
      <c r="M29" s="41" t="n">
        <v>2.5</v>
      </c>
      <c r="N29" s="42">
        <f>L29*M29</f>
        <v/>
      </c>
    </row>
    <row r="30" ht="19" customHeight="1">
      <c r="A30" s="37" t="inlineStr">
        <is>
          <t>02/09/2026</t>
        </is>
      </c>
      <c r="B30" s="37" t="inlineStr">
        <is>
          <t>Miércoles</t>
        </is>
      </c>
      <c r="C30" s="37" t="inlineStr">
        <is>
          <t>Sucursal Central</t>
        </is>
      </c>
      <c r="D30" s="37" t="n">
        <v>63</v>
      </c>
      <c r="E30" s="37" t="inlineStr">
        <is>
          <t>Reposteria</t>
        </is>
      </c>
      <c r="F30" s="38" t="inlineStr">
        <is>
          <t>Empanada de Manjar</t>
        </is>
      </c>
      <c r="G30" s="37" t="n">
        <v>16</v>
      </c>
      <c r="H30" s="39" t="n"/>
      <c r="I30" s="39">
        <f>IF(H30&gt;0, H30*G30, "")</f>
        <v/>
      </c>
      <c r="J30" s="39" t="n"/>
      <c r="K30" s="39" t="n">
        <v>0</v>
      </c>
      <c r="L30" s="40">
        <f>IF(I30&gt;0, MAX(0, I30-J30-K30), 0)</f>
        <v/>
      </c>
      <c r="M30" s="41" t="n">
        <v>2.5</v>
      </c>
      <c r="N30" s="42">
        <f>L30*M30</f>
        <v/>
      </c>
    </row>
    <row r="31" ht="19" customHeight="1">
      <c r="A31" s="37" t="inlineStr">
        <is>
          <t>02/09/2026</t>
        </is>
      </c>
      <c r="B31" s="37" t="inlineStr">
        <is>
          <t>Miércoles</t>
        </is>
      </c>
      <c r="C31" s="37" t="inlineStr">
        <is>
          <t>Sucursal Central</t>
        </is>
      </c>
      <c r="D31" s="37" t="n">
        <v>64</v>
      </c>
      <c r="E31" s="37" t="inlineStr">
        <is>
          <t>Galletas</t>
        </is>
      </c>
      <c r="F31" s="38" t="inlineStr">
        <is>
          <t>Polvorosa Tradicional</t>
        </is>
      </c>
      <c r="G31" s="37" t="n">
        <v>15</v>
      </c>
      <c r="H31" s="39" t="n"/>
      <c r="I31" s="39">
        <f>IF(H31&gt;0, H31*G31, "")</f>
        <v/>
      </c>
      <c r="J31" s="39" t="n"/>
      <c r="K31" s="39" t="n">
        <v>0</v>
      </c>
      <c r="L31" s="40">
        <f>IF(I31&gt;0, MAX(0, I31-J31-K31), 0)</f>
        <v/>
      </c>
      <c r="M31" s="41" t="n">
        <v>1.25</v>
      </c>
      <c r="N31" s="42">
        <f>L31*M31</f>
        <v/>
      </c>
    </row>
    <row r="32" ht="19" customHeight="1">
      <c r="A32" s="37" t="inlineStr">
        <is>
          <t>02/09/2026</t>
        </is>
      </c>
      <c r="B32" s="37" t="inlineStr">
        <is>
          <t>Miércoles</t>
        </is>
      </c>
      <c r="C32" s="37" t="inlineStr">
        <is>
          <t>Sucursal Central</t>
        </is>
      </c>
      <c r="D32" s="37" t="n">
        <v>65</v>
      </c>
      <c r="E32" s="37" t="inlineStr">
        <is>
          <t>Donas</t>
        </is>
      </c>
      <c r="F32" s="38" t="inlineStr">
        <is>
          <t>Dona Simple Glaseada</t>
        </is>
      </c>
      <c r="G32" s="37" t="n">
        <v>24</v>
      </c>
      <c r="H32" s="39" t="n"/>
      <c r="I32" s="39">
        <f>IF(H32&gt;0, H32*G32, "")</f>
        <v/>
      </c>
      <c r="J32" s="39" t="n"/>
      <c r="K32" s="39" t="n">
        <v>0</v>
      </c>
      <c r="L32" s="40">
        <f>IF(I32&gt;0, MAX(0, I32-J32-K32), 0)</f>
        <v/>
      </c>
      <c r="M32" s="41" t="n">
        <v>2.5</v>
      </c>
      <c r="N32" s="42">
        <f>L32*M32</f>
        <v/>
      </c>
    </row>
    <row r="33" ht="19" customHeight="1">
      <c r="A33" s="37" t="inlineStr">
        <is>
          <t>02/09/2026</t>
        </is>
      </c>
      <c r="B33" s="37" t="inlineStr">
        <is>
          <t>Miércoles</t>
        </is>
      </c>
      <c r="C33" s="37" t="inlineStr">
        <is>
          <t>Sucursal Central</t>
        </is>
      </c>
      <c r="D33" s="37" t="n">
        <v>66</v>
      </c>
      <c r="E33" s="37" t="inlineStr">
        <is>
          <t>Donas</t>
        </is>
      </c>
      <c r="F33" s="38" t="inlineStr">
        <is>
          <t>Dona Rellena de Manjar</t>
        </is>
      </c>
      <c r="G33" s="37" t="n">
        <v>24</v>
      </c>
      <c r="H33" s="39" t="n"/>
      <c r="I33" s="39">
        <f>IF(H33&gt;0, H33*G33, "")</f>
        <v/>
      </c>
      <c r="J33" s="39" t="n"/>
      <c r="K33" s="39" t="n">
        <v>0</v>
      </c>
      <c r="L33" s="40">
        <f>IF(I33&gt;0, MAX(0, I33-J33-K33), 0)</f>
        <v/>
      </c>
      <c r="M33" s="41" t="n">
        <v>4</v>
      </c>
      <c r="N33" s="42">
        <f>L33*M33</f>
        <v/>
      </c>
    </row>
    <row r="34" ht="19" customHeight="1">
      <c r="A34" s="37" t="inlineStr">
        <is>
          <t>02/09/2026</t>
        </is>
      </c>
      <c r="B34" s="37" t="inlineStr">
        <is>
          <t>Miércoles</t>
        </is>
      </c>
      <c r="C34" s="37" t="inlineStr">
        <is>
          <t>Sucursal Central</t>
        </is>
      </c>
      <c r="D34" s="37" t="n">
        <v>67</v>
      </c>
      <c r="E34" s="37" t="inlineStr">
        <is>
          <t>Donas</t>
        </is>
      </c>
      <c r="F34" s="38" t="inlineStr">
        <is>
          <t>Dona Rellena de Fresa</t>
        </is>
      </c>
      <c r="G34" s="37" t="n">
        <v>24</v>
      </c>
      <c r="H34" s="39" t="n"/>
      <c r="I34" s="39">
        <f>IF(H34&gt;0, H34*G34, "")</f>
        <v/>
      </c>
      <c r="J34" s="39" t="n"/>
      <c r="K34" s="39" t="n">
        <v>0</v>
      </c>
      <c r="L34" s="40">
        <f>IF(I34&gt;0, MAX(0, I34-J34-K34), 0)</f>
        <v/>
      </c>
      <c r="M34" s="41" t="n">
        <v>4</v>
      </c>
      <c r="N34" s="42">
        <f>L34*M34</f>
        <v/>
      </c>
    </row>
    <row r="35" ht="19" customHeight="1">
      <c r="A35" s="37" t="inlineStr">
        <is>
          <t>02/09/2026</t>
        </is>
      </c>
      <c r="B35" s="37" t="inlineStr">
        <is>
          <t>Miércoles</t>
        </is>
      </c>
      <c r="C35" s="37" t="inlineStr">
        <is>
          <t>Sucursal Central</t>
        </is>
      </c>
      <c r="D35" s="37" t="n">
        <v>68</v>
      </c>
      <c r="E35" s="37" t="inlineStr">
        <is>
          <t>Pan Dulce</t>
        </is>
      </c>
      <c r="F35" s="38" t="inlineStr">
        <is>
          <t>Campechana</t>
        </is>
      </c>
      <c r="G35" s="37" t="n">
        <v>20</v>
      </c>
      <c r="H35" s="39" t="n"/>
      <c r="I35" s="39">
        <f>IF(H35&gt;0, H35*G35, "")</f>
        <v/>
      </c>
      <c r="J35" s="39" t="n"/>
      <c r="K35" s="39" t="n">
        <v>0</v>
      </c>
      <c r="L35" s="40">
        <f>IF(I35&gt;0, MAX(0, I35-J35-K35), 0)</f>
        <v/>
      </c>
      <c r="M35" s="41" t="n">
        <v>1.25</v>
      </c>
      <c r="N35" s="42">
        <f>L35*M35</f>
        <v/>
      </c>
    </row>
    <row r="36" ht="19" customHeight="1">
      <c r="A36" s="37" t="inlineStr">
        <is>
          <t>02/09/2026</t>
        </is>
      </c>
      <c r="B36" s="37" t="inlineStr">
        <is>
          <t>Miércoles</t>
        </is>
      </c>
      <c r="C36" s="37" t="inlineStr">
        <is>
          <t>Sucursal Central</t>
        </is>
      </c>
      <c r="D36" s="37" t="n">
        <v>69</v>
      </c>
      <c r="E36" s="37" t="inlineStr">
        <is>
          <t>Pan Dulce</t>
        </is>
      </c>
      <c r="F36" s="38" t="inlineStr">
        <is>
          <t>Pasitas</t>
        </is>
      </c>
      <c r="G36" s="37" t="n">
        <v>30</v>
      </c>
      <c r="H36" s="39" t="n"/>
      <c r="I36" s="39">
        <f>IF(H36&gt;0, H36*G36, "")</f>
        <v/>
      </c>
      <c r="J36" s="39" t="n"/>
      <c r="K36" s="39" t="n">
        <v>0</v>
      </c>
      <c r="L36" s="40">
        <f>IF(I36&gt;0, MAX(0, I36-J36-K36), 0)</f>
        <v/>
      </c>
      <c r="M36" s="41" t="n">
        <v>0.75</v>
      </c>
      <c r="N36" s="42">
        <f>L36*M36</f>
        <v/>
      </c>
    </row>
    <row r="37" ht="19" customHeight="1">
      <c r="A37" s="37" t="inlineStr">
        <is>
          <t>02/09/2026</t>
        </is>
      </c>
      <c r="B37" s="37" t="inlineStr">
        <is>
          <t>Miércoles</t>
        </is>
      </c>
      <c r="C37" s="37" t="inlineStr">
        <is>
          <t>Sucursal Central</t>
        </is>
      </c>
      <c r="D37" s="37" t="n">
        <v>70</v>
      </c>
      <c r="E37" s="37" t="inlineStr">
        <is>
          <t>Reposteria</t>
        </is>
      </c>
      <c r="F37" s="38" t="inlineStr">
        <is>
          <t>Cortada de Fresa</t>
        </is>
      </c>
      <c r="G37" s="37" t="n">
        <v>14</v>
      </c>
      <c r="H37" s="39" t="n"/>
      <c r="I37" s="39">
        <f>IF(H37&gt;0, H37*G37, "")</f>
        <v/>
      </c>
      <c r="J37" s="39" t="n"/>
      <c r="K37" s="39" t="n">
        <v>0</v>
      </c>
      <c r="L37" s="40">
        <f>IF(I37&gt;0, MAX(0, I37-J37-K37), 0)</f>
        <v/>
      </c>
      <c r="M37" s="41" t="n">
        <v>2.5</v>
      </c>
      <c r="N37" s="42">
        <f>L37*M37</f>
        <v/>
      </c>
    </row>
    <row r="38" ht="19" customHeight="1">
      <c r="A38" s="37" t="inlineStr">
        <is>
          <t>02/09/2026</t>
        </is>
      </c>
      <c r="B38" s="37" t="inlineStr">
        <is>
          <t>Miércoles</t>
        </is>
      </c>
      <c r="C38" s="37" t="inlineStr">
        <is>
          <t>Sucursal Central</t>
        </is>
      </c>
      <c r="D38" s="37" t="n">
        <v>71</v>
      </c>
      <c r="E38" s="37" t="inlineStr">
        <is>
          <t>Reposteria</t>
        </is>
      </c>
      <c r="F38" s="38" t="inlineStr">
        <is>
          <t>Cortada de Chocolate</t>
        </is>
      </c>
      <c r="G38" s="37" t="n">
        <v>14</v>
      </c>
      <c r="H38" s="39" t="n"/>
      <c r="I38" s="39">
        <f>IF(H38&gt;0, H38*G38, "")</f>
        <v/>
      </c>
      <c r="J38" s="39" t="n"/>
      <c r="K38" s="39" t="n">
        <v>0</v>
      </c>
      <c r="L38" s="40">
        <f>IF(I38&gt;0, MAX(0, I38-J38-K38), 0)</f>
        <v/>
      </c>
      <c r="M38" s="41" t="n">
        <v>2.5</v>
      </c>
      <c r="N38" s="42">
        <f>L38*M38</f>
        <v/>
      </c>
    </row>
    <row r="39" ht="19" customHeight="1">
      <c r="A39" s="31" t="inlineStr">
        <is>
          <t>03/09/2026</t>
        </is>
      </c>
      <c r="B39" s="31" t="inlineStr">
        <is>
          <t>Jueves</t>
        </is>
      </c>
      <c r="C39" s="31" t="inlineStr">
        <is>
          <t>Sucursal Central</t>
        </is>
      </c>
      <c r="D39" s="31" t="n">
        <v>54</v>
      </c>
      <c r="E39" s="31" t="inlineStr">
        <is>
          <t>Pan</t>
        </is>
      </c>
      <c r="F39" s="32" t="inlineStr">
        <is>
          <t>Pan Francés Tradicional</t>
        </is>
      </c>
      <c r="G39" s="31" t="n">
        <v>36</v>
      </c>
      <c r="H39" s="33" t="n"/>
      <c r="I39" s="33">
        <f>IF(H39&gt;0, H39*G39, "")</f>
        <v/>
      </c>
      <c r="J39" s="33" t="n"/>
      <c r="K39" s="33" t="n">
        <v>0</v>
      </c>
      <c r="L39" s="34">
        <f>IF(I39&gt;0, MAX(0, I39-J39-K39), 0)</f>
        <v/>
      </c>
      <c r="M39" s="35" t="n">
        <v>0.5</v>
      </c>
      <c r="N39" s="36">
        <f>L39*M39</f>
        <v/>
      </c>
    </row>
    <row r="40" ht="19" customHeight="1">
      <c r="A40" s="31" t="inlineStr">
        <is>
          <t>03/09/2026</t>
        </is>
      </c>
      <c r="B40" s="31" t="inlineStr">
        <is>
          <t>Jueves</t>
        </is>
      </c>
      <c r="C40" s="31" t="inlineStr">
        <is>
          <t>Sucursal Central</t>
        </is>
      </c>
      <c r="D40" s="31" t="n">
        <v>55</v>
      </c>
      <c r="E40" s="31" t="inlineStr">
        <is>
          <t>Pan Dulce</t>
        </is>
      </c>
      <c r="F40" s="32" t="inlineStr">
        <is>
          <t>Pan Dulce Pequeño</t>
        </is>
      </c>
      <c r="G40" s="31" t="n">
        <v>40</v>
      </c>
      <c r="H40" s="33" t="n"/>
      <c r="I40" s="33">
        <f>IF(H40&gt;0, H40*G40, "")</f>
        <v/>
      </c>
      <c r="J40" s="33" t="n"/>
      <c r="K40" s="33" t="n">
        <v>0</v>
      </c>
      <c r="L40" s="34">
        <f>IF(I40&gt;0, MAX(0, I40-J40-K40), 0)</f>
        <v/>
      </c>
      <c r="M40" s="35" t="n">
        <v>0.5</v>
      </c>
      <c r="N40" s="36">
        <f>L40*M40</f>
        <v/>
      </c>
    </row>
    <row r="41" ht="19" customHeight="1">
      <c r="A41" s="31" t="inlineStr">
        <is>
          <t>03/09/2026</t>
        </is>
      </c>
      <c r="B41" s="31" t="inlineStr">
        <is>
          <t>Jueves</t>
        </is>
      </c>
      <c r="C41" s="31" t="inlineStr">
        <is>
          <t>Sucursal Central</t>
        </is>
      </c>
      <c r="D41" s="31" t="n">
        <v>56</v>
      </c>
      <c r="E41" s="31" t="inlineStr">
        <is>
          <t>Pan Dulce</t>
        </is>
      </c>
      <c r="F41" s="32" t="inlineStr">
        <is>
          <t>Pan Dulce Grande</t>
        </is>
      </c>
      <c r="G41" s="31" t="n">
        <v>20</v>
      </c>
      <c r="H41" s="33" t="n"/>
      <c r="I41" s="33">
        <f>IF(H41&gt;0, H41*G41, "")</f>
        <v/>
      </c>
      <c r="J41" s="33" t="n"/>
      <c r="K41" s="33" t="n">
        <v>0</v>
      </c>
      <c r="L41" s="34">
        <f>IF(I41&gt;0, MAX(0, I41-J41-K41), 0)</f>
        <v/>
      </c>
      <c r="M41" s="35" t="n">
        <v>1.25</v>
      </c>
      <c r="N41" s="36">
        <f>L41*M41</f>
        <v/>
      </c>
    </row>
    <row r="42" ht="19" customHeight="1">
      <c r="A42" s="31" t="inlineStr">
        <is>
          <t>03/09/2026</t>
        </is>
      </c>
      <c r="B42" s="31" t="inlineStr">
        <is>
          <t>Jueves</t>
        </is>
      </c>
      <c r="C42" s="31" t="inlineStr">
        <is>
          <t>Sucursal Central</t>
        </is>
      </c>
      <c r="D42" s="31" t="n">
        <v>57</v>
      </c>
      <c r="E42" s="31" t="inlineStr">
        <is>
          <t>Galletas</t>
        </is>
      </c>
      <c r="F42" s="32" t="inlineStr">
        <is>
          <t>Pan Galleta</t>
        </is>
      </c>
      <c r="G42" s="31" t="n">
        <v>20</v>
      </c>
      <c r="H42" s="33" t="n"/>
      <c r="I42" s="33">
        <f>IF(H42&gt;0, H42*G42, "")</f>
        <v/>
      </c>
      <c r="J42" s="33" t="n"/>
      <c r="K42" s="33" t="n">
        <v>0</v>
      </c>
      <c r="L42" s="34">
        <f>IF(I42&gt;0, MAX(0, I42-J42-K42), 0)</f>
        <v/>
      </c>
      <c r="M42" s="35" t="n">
        <v>1.25</v>
      </c>
      <c r="N42" s="36">
        <f>L42*M42</f>
        <v/>
      </c>
    </row>
    <row r="43" ht="19" customHeight="1">
      <c r="A43" s="31" t="inlineStr">
        <is>
          <t>03/09/2026</t>
        </is>
      </c>
      <c r="B43" s="31" t="inlineStr">
        <is>
          <t>Jueves</t>
        </is>
      </c>
      <c r="C43" s="31" t="inlineStr">
        <is>
          <t>Sucursal Central</t>
        </is>
      </c>
      <c r="D43" s="31" t="n">
        <v>58</v>
      </c>
      <c r="E43" s="31" t="inlineStr">
        <is>
          <t>Galletas</t>
        </is>
      </c>
      <c r="F43" s="32" t="inlineStr">
        <is>
          <t>Champurrada Pequeña</t>
        </is>
      </c>
      <c r="G43" s="31" t="n">
        <v>24</v>
      </c>
      <c r="H43" s="33" t="n"/>
      <c r="I43" s="33">
        <f>IF(H43&gt;0, H43*G43, "")</f>
        <v/>
      </c>
      <c r="J43" s="33" t="n"/>
      <c r="K43" s="33" t="n">
        <v>0</v>
      </c>
      <c r="L43" s="34">
        <f>IF(I43&gt;0, MAX(0, I43-J43-K43), 0)</f>
        <v/>
      </c>
      <c r="M43" s="35" t="n">
        <v>0.5</v>
      </c>
      <c r="N43" s="36">
        <f>L43*M43</f>
        <v/>
      </c>
    </row>
    <row r="44" ht="19" customHeight="1">
      <c r="A44" s="31" t="inlineStr">
        <is>
          <t>03/09/2026</t>
        </is>
      </c>
      <c r="B44" s="31" t="inlineStr">
        <is>
          <t>Jueves</t>
        </is>
      </c>
      <c r="C44" s="31" t="inlineStr">
        <is>
          <t>Sucursal Central</t>
        </is>
      </c>
      <c r="D44" s="31" t="n">
        <v>59</v>
      </c>
      <c r="E44" s="31" t="inlineStr">
        <is>
          <t>Galletas</t>
        </is>
      </c>
      <c r="F44" s="32" t="inlineStr">
        <is>
          <t>Champurrada Grande</t>
        </is>
      </c>
      <c r="G44" s="31" t="n">
        <v>15</v>
      </c>
      <c r="H44" s="33" t="n"/>
      <c r="I44" s="33">
        <f>IF(H44&gt;0, H44*G44, "")</f>
        <v/>
      </c>
      <c r="J44" s="33" t="n"/>
      <c r="K44" s="33" t="n">
        <v>0</v>
      </c>
      <c r="L44" s="34">
        <f>IF(I44&gt;0, MAX(0, I44-J44-K44), 0)</f>
        <v/>
      </c>
      <c r="M44" s="35" t="n">
        <v>1.25</v>
      </c>
      <c r="N44" s="36">
        <f>L44*M44</f>
        <v/>
      </c>
    </row>
    <row r="45" ht="19" customHeight="1">
      <c r="A45" s="31" t="inlineStr">
        <is>
          <t>03/09/2026</t>
        </is>
      </c>
      <c r="B45" s="31" t="inlineStr">
        <is>
          <t>Jueves</t>
        </is>
      </c>
      <c r="C45" s="31" t="inlineStr">
        <is>
          <t>Sucursal Central</t>
        </is>
      </c>
      <c r="D45" s="31" t="n">
        <v>60</v>
      </c>
      <c r="E45" s="31" t="inlineStr">
        <is>
          <t>Reposteria</t>
        </is>
      </c>
      <c r="F45" s="32" t="inlineStr">
        <is>
          <t>Cubilete de Vainilla</t>
        </is>
      </c>
      <c r="G45" s="31" t="n">
        <v>30</v>
      </c>
      <c r="H45" s="33" t="n"/>
      <c r="I45" s="33">
        <f>IF(H45&gt;0, H45*G45, "")</f>
        <v/>
      </c>
      <c r="J45" s="33" t="n"/>
      <c r="K45" s="33" t="n">
        <v>0</v>
      </c>
      <c r="L45" s="34">
        <f>IF(I45&gt;0, MAX(0, I45-J45-K45), 0)</f>
        <v/>
      </c>
      <c r="M45" s="35" t="n">
        <v>2</v>
      </c>
      <c r="N45" s="36">
        <f>L45*M45</f>
        <v/>
      </c>
    </row>
    <row r="46" ht="19" customHeight="1">
      <c r="A46" s="31" t="inlineStr">
        <is>
          <t>03/09/2026</t>
        </is>
      </c>
      <c r="B46" s="31" t="inlineStr">
        <is>
          <t>Jueves</t>
        </is>
      </c>
      <c r="C46" s="31" t="inlineStr">
        <is>
          <t>Sucursal Central</t>
        </is>
      </c>
      <c r="D46" s="31" t="n">
        <v>61</v>
      </c>
      <c r="E46" s="31" t="inlineStr">
        <is>
          <t>Reposteria</t>
        </is>
      </c>
      <c r="F46" s="32" t="inlineStr">
        <is>
          <t>Cubilete de Banano</t>
        </is>
      </c>
      <c r="G46" s="31" t="n">
        <v>30</v>
      </c>
      <c r="H46" s="33" t="n"/>
      <c r="I46" s="33">
        <f>IF(H46&gt;0, H46*G46, "")</f>
        <v/>
      </c>
      <c r="J46" s="33" t="n"/>
      <c r="K46" s="33" t="n">
        <v>0</v>
      </c>
      <c r="L46" s="34">
        <f>IF(I46&gt;0, MAX(0, I46-J46-K46), 0)</f>
        <v/>
      </c>
      <c r="M46" s="35" t="n">
        <v>2</v>
      </c>
      <c r="N46" s="36">
        <f>L46*M46</f>
        <v/>
      </c>
    </row>
    <row r="47" ht="19" customHeight="1">
      <c r="A47" s="31" t="inlineStr">
        <is>
          <t>03/09/2026</t>
        </is>
      </c>
      <c r="B47" s="31" t="inlineStr">
        <is>
          <t>Jueves</t>
        </is>
      </c>
      <c r="C47" s="31" t="inlineStr">
        <is>
          <t>Sucursal Central</t>
        </is>
      </c>
      <c r="D47" s="31" t="n">
        <v>62</v>
      </c>
      <c r="E47" s="31" t="inlineStr">
        <is>
          <t>Reposteria</t>
        </is>
      </c>
      <c r="F47" s="32" t="inlineStr">
        <is>
          <t>Empanada de Piña</t>
        </is>
      </c>
      <c r="G47" s="31" t="n">
        <v>16</v>
      </c>
      <c r="H47" s="33" t="n"/>
      <c r="I47" s="33">
        <f>IF(H47&gt;0, H47*G47, "")</f>
        <v/>
      </c>
      <c r="J47" s="33" t="n"/>
      <c r="K47" s="33" t="n">
        <v>0</v>
      </c>
      <c r="L47" s="34">
        <f>IF(I47&gt;0, MAX(0, I47-J47-K47), 0)</f>
        <v/>
      </c>
      <c r="M47" s="35" t="n">
        <v>2.5</v>
      </c>
      <c r="N47" s="36">
        <f>L47*M47</f>
        <v/>
      </c>
    </row>
    <row r="48" ht="19" customHeight="1">
      <c r="A48" s="31" t="inlineStr">
        <is>
          <t>03/09/2026</t>
        </is>
      </c>
      <c r="B48" s="31" t="inlineStr">
        <is>
          <t>Jueves</t>
        </is>
      </c>
      <c r="C48" s="31" t="inlineStr">
        <is>
          <t>Sucursal Central</t>
        </is>
      </c>
      <c r="D48" s="31" t="n">
        <v>63</v>
      </c>
      <c r="E48" s="31" t="inlineStr">
        <is>
          <t>Reposteria</t>
        </is>
      </c>
      <c r="F48" s="32" t="inlineStr">
        <is>
          <t>Empanada de Manjar</t>
        </is>
      </c>
      <c r="G48" s="31" t="n">
        <v>16</v>
      </c>
      <c r="H48" s="33" t="n"/>
      <c r="I48" s="33">
        <f>IF(H48&gt;0, H48*G48, "")</f>
        <v/>
      </c>
      <c r="J48" s="33" t="n"/>
      <c r="K48" s="33" t="n">
        <v>0</v>
      </c>
      <c r="L48" s="34">
        <f>IF(I48&gt;0, MAX(0, I48-J48-K48), 0)</f>
        <v/>
      </c>
      <c r="M48" s="35" t="n">
        <v>2.5</v>
      </c>
      <c r="N48" s="36">
        <f>L48*M48</f>
        <v/>
      </c>
    </row>
    <row r="49" ht="19" customHeight="1">
      <c r="A49" s="31" t="inlineStr">
        <is>
          <t>03/09/2026</t>
        </is>
      </c>
      <c r="B49" s="31" t="inlineStr">
        <is>
          <t>Jueves</t>
        </is>
      </c>
      <c r="C49" s="31" t="inlineStr">
        <is>
          <t>Sucursal Central</t>
        </is>
      </c>
      <c r="D49" s="31" t="n">
        <v>64</v>
      </c>
      <c r="E49" s="31" t="inlineStr">
        <is>
          <t>Galletas</t>
        </is>
      </c>
      <c r="F49" s="32" t="inlineStr">
        <is>
          <t>Polvorosa Tradicional</t>
        </is>
      </c>
      <c r="G49" s="31" t="n">
        <v>15</v>
      </c>
      <c r="H49" s="33" t="n"/>
      <c r="I49" s="33">
        <f>IF(H49&gt;0, H49*G49, "")</f>
        <v/>
      </c>
      <c r="J49" s="33" t="n"/>
      <c r="K49" s="33" t="n">
        <v>0</v>
      </c>
      <c r="L49" s="34">
        <f>IF(I49&gt;0, MAX(0, I49-J49-K49), 0)</f>
        <v/>
      </c>
      <c r="M49" s="35" t="n">
        <v>1.25</v>
      </c>
      <c r="N49" s="36">
        <f>L49*M49</f>
        <v/>
      </c>
    </row>
    <row r="50" ht="19" customHeight="1">
      <c r="A50" s="31" t="inlineStr">
        <is>
          <t>03/09/2026</t>
        </is>
      </c>
      <c r="B50" s="31" t="inlineStr">
        <is>
          <t>Jueves</t>
        </is>
      </c>
      <c r="C50" s="31" t="inlineStr">
        <is>
          <t>Sucursal Central</t>
        </is>
      </c>
      <c r="D50" s="31" t="n">
        <v>65</v>
      </c>
      <c r="E50" s="31" t="inlineStr">
        <is>
          <t>Donas</t>
        </is>
      </c>
      <c r="F50" s="32" t="inlineStr">
        <is>
          <t>Dona Simple Glaseada</t>
        </is>
      </c>
      <c r="G50" s="31" t="n">
        <v>24</v>
      </c>
      <c r="H50" s="33" t="n"/>
      <c r="I50" s="33">
        <f>IF(H50&gt;0, H50*G50, "")</f>
        <v/>
      </c>
      <c r="J50" s="33" t="n"/>
      <c r="K50" s="33" t="n">
        <v>0</v>
      </c>
      <c r="L50" s="34">
        <f>IF(I50&gt;0, MAX(0, I50-J50-K50), 0)</f>
        <v/>
      </c>
      <c r="M50" s="35" t="n">
        <v>2.5</v>
      </c>
      <c r="N50" s="36">
        <f>L50*M50</f>
        <v/>
      </c>
    </row>
    <row r="51" ht="19" customHeight="1">
      <c r="A51" s="31" t="inlineStr">
        <is>
          <t>03/09/2026</t>
        </is>
      </c>
      <c r="B51" s="31" t="inlineStr">
        <is>
          <t>Jueves</t>
        </is>
      </c>
      <c r="C51" s="31" t="inlineStr">
        <is>
          <t>Sucursal Central</t>
        </is>
      </c>
      <c r="D51" s="31" t="n">
        <v>66</v>
      </c>
      <c r="E51" s="31" t="inlineStr">
        <is>
          <t>Donas</t>
        </is>
      </c>
      <c r="F51" s="32" t="inlineStr">
        <is>
          <t>Dona Rellena de Manjar</t>
        </is>
      </c>
      <c r="G51" s="31" t="n">
        <v>24</v>
      </c>
      <c r="H51" s="33" t="n"/>
      <c r="I51" s="33">
        <f>IF(H51&gt;0, H51*G51, "")</f>
        <v/>
      </c>
      <c r="J51" s="33" t="n"/>
      <c r="K51" s="33" t="n">
        <v>0</v>
      </c>
      <c r="L51" s="34">
        <f>IF(I51&gt;0, MAX(0, I51-J51-K51), 0)</f>
        <v/>
      </c>
      <c r="M51" s="35" t="n">
        <v>4</v>
      </c>
      <c r="N51" s="36">
        <f>L51*M51</f>
        <v/>
      </c>
    </row>
    <row r="52" ht="19" customHeight="1">
      <c r="A52" s="31" t="inlineStr">
        <is>
          <t>03/09/2026</t>
        </is>
      </c>
      <c r="B52" s="31" t="inlineStr">
        <is>
          <t>Jueves</t>
        </is>
      </c>
      <c r="C52" s="31" t="inlineStr">
        <is>
          <t>Sucursal Central</t>
        </is>
      </c>
      <c r="D52" s="31" t="n">
        <v>67</v>
      </c>
      <c r="E52" s="31" t="inlineStr">
        <is>
          <t>Donas</t>
        </is>
      </c>
      <c r="F52" s="32" t="inlineStr">
        <is>
          <t>Dona Rellena de Fresa</t>
        </is>
      </c>
      <c r="G52" s="31" t="n">
        <v>24</v>
      </c>
      <c r="H52" s="33" t="n"/>
      <c r="I52" s="33">
        <f>IF(H52&gt;0, H52*G52, "")</f>
        <v/>
      </c>
      <c r="J52" s="33" t="n"/>
      <c r="K52" s="33" t="n">
        <v>0</v>
      </c>
      <c r="L52" s="34">
        <f>IF(I52&gt;0, MAX(0, I52-J52-K52), 0)</f>
        <v/>
      </c>
      <c r="M52" s="35" t="n">
        <v>4</v>
      </c>
      <c r="N52" s="36">
        <f>L52*M52</f>
        <v/>
      </c>
    </row>
    <row r="53" ht="19" customHeight="1">
      <c r="A53" s="31" t="inlineStr">
        <is>
          <t>03/09/2026</t>
        </is>
      </c>
      <c r="B53" s="31" t="inlineStr">
        <is>
          <t>Jueves</t>
        </is>
      </c>
      <c r="C53" s="31" t="inlineStr">
        <is>
          <t>Sucursal Central</t>
        </is>
      </c>
      <c r="D53" s="31" t="n">
        <v>68</v>
      </c>
      <c r="E53" s="31" t="inlineStr">
        <is>
          <t>Pan Dulce</t>
        </is>
      </c>
      <c r="F53" s="32" t="inlineStr">
        <is>
          <t>Campechana</t>
        </is>
      </c>
      <c r="G53" s="31" t="n">
        <v>20</v>
      </c>
      <c r="H53" s="33" t="n"/>
      <c r="I53" s="33">
        <f>IF(H53&gt;0, H53*G53, "")</f>
        <v/>
      </c>
      <c r="J53" s="33" t="n"/>
      <c r="K53" s="33" t="n">
        <v>0</v>
      </c>
      <c r="L53" s="34">
        <f>IF(I53&gt;0, MAX(0, I53-J53-K53), 0)</f>
        <v/>
      </c>
      <c r="M53" s="35" t="n">
        <v>1.25</v>
      </c>
      <c r="N53" s="36">
        <f>L53*M53</f>
        <v/>
      </c>
    </row>
    <row r="54" ht="19" customHeight="1">
      <c r="A54" s="31" t="inlineStr">
        <is>
          <t>03/09/2026</t>
        </is>
      </c>
      <c r="B54" s="31" t="inlineStr">
        <is>
          <t>Jueves</t>
        </is>
      </c>
      <c r="C54" s="31" t="inlineStr">
        <is>
          <t>Sucursal Central</t>
        </is>
      </c>
      <c r="D54" s="31" t="n">
        <v>69</v>
      </c>
      <c r="E54" s="31" t="inlineStr">
        <is>
          <t>Pan Dulce</t>
        </is>
      </c>
      <c r="F54" s="32" t="inlineStr">
        <is>
          <t>Pasitas</t>
        </is>
      </c>
      <c r="G54" s="31" t="n">
        <v>30</v>
      </c>
      <c r="H54" s="33" t="n"/>
      <c r="I54" s="33">
        <f>IF(H54&gt;0, H54*G54, "")</f>
        <v/>
      </c>
      <c r="J54" s="33" t="n"/>
      <c r="K54" s="33" t="n">
        <v>0</v>
      </c>
      <c r="L54" s="34">
        <f>IF(I54&gt;0, MAX(0, I54-J54-K54), 0)</f>
        <v/>
      </c>
      <c r="M54" s="35" t="n">
        <v>0.75</v>
      </c>
      <c r="N54" s="36">
        <f>L54*M54</f>
        <v/>
      </c>
    </row>
    <row r="55" ht="19" customHeight="1">
      <c r="A55" s="31" t="inlineStr">
        <is>
          <t>03/09/2026</t>
        </is>
      </c>
      <c r="B55" s="31" t="inlineStr">
        <is>
          <t>Jueves</t>
        </is>
      </c>
      <c r="C55" s="31" t="inlineStr">
        <is>
          <t>Sucursal Central</t>
        </is>
      </c>
      <c r="D55" s="31" t="n">
        <v>70</v>
      </c>
      <c r="E55" s="31" t="inlineStr">
        <is>
          <t>Reposteria</t>
        </is>
      </c>
      <c r="F55" s="32" t="inlineStr">
        <is>
          <t>Cortada de Fresa</t>
        </is>
      </c>
      <c r="G55" s="31" t="n">
        <v>14</v>
      </c>
      <c r="H55" s="33" t="n"/>
      <c r="I55" s="33">
        <f>IF(H55&gt;0, H55*G55, "")</f>
        <v/>
      </c>
      <c r="J55" s="33" t="n"/>
      <c r="K55" s="33" t="n">
        <v>0</v>
      </c>
      <c r="L55" s="34">
        <f>IF(I55&gt;0, MAX(0, I55-J55-K55), 0)</f>
        <v/>
      </c>
      <c r="M55" s="35" t="n">
        <v>2.5</v>
      </c>
      <c r="N55" s="36">
        <f>L55*M55</f>
        <v/>
      </c>
    </row>
    <row r="56" ht="19" customHeight="1">
      <c r="A56" s="31" t="inlineStr">
        <is>
          <t>03/09/2026</t>
        </is>
      </c>
      <c r="B56" s="31" t="inlineStr">
        <is>
          <t>Jueves</t>
        </is>
      </c>
      <c r="C56" s="31" t="inlineStr">
        <is>
          <t>Sucursal Central</t>
        </is>
      </c>
      <c r="D56" s="31" t="n">
        <v>71</v>
      </c>
      <c r="E56" s="31" t="inlineStr">
        <is>
          <t>Reposteria</t>
        </is>
      </c>
      <c r="F56" s="32" t="inlineStr">
        <is>
          <t>Cortada de Chocolate</t>
        </is>
      </c>
      <c r="G56" s="31" t="n">
        <v>14</v>
      </c>
      <c r="H56" s="33" t="n"/>
      <c r="I56" s="33">
        <f>IF(H56&gt;0, H56*G56, "")</f>
        <v/>
      </c>
      <c r="J56" s="33" t="n"/>
      <c r="K56" s="33" t="n">
        <v>0</v>
      </c>
      <c r="L56" s="34">
        <f>IF(I56&gt;0, MAX(0, I56-J56-K56), 0)</f>
        <v/>
      </c>
      <c r="M56" s="35" t="n">
        <v>2.5</v>
      </c>
      <c r="N56" s="36">
        <f>L56*M56</f>
        <v/>
      </c>
    </row>
    <row r="57" ht="19" customHeight="1">
      <c r="A57" s="37" t="inlineStr">
        <is>
          <t>04/09/2026</t>
        </is>
      </c>
      <c r="B57" s="37" t="inlineStr">
        <is>
          <t>Viernes</t>
        </is>
      </c>
      <c r="C57" s="37" t="inlineStr">
        <is>
          <t>Sucursal Central</t>
        </is>
      </c>
      <c r="D57" s="37" t="n">
        <v>54</v>
      </c>
      <c r="E57" s="37" t="inlineStr">
        <is>
          <t>Pan</t>
        </is>
      </c>
      <c r="F57" s="38" t="inlineStr">
        <is>
          <t>Pan Francés Tradicional</t>
        </is>
      </c>
      <c r="G57" s="37" t="n">
        <v>36</v>
      </c>
      <c r="H57" s="39" t="n"/>
      <c r="I57" s="39">
        <f>IF(H57&gt;0, H57*G57, "")</f>
        <v/>
      </c>
      <c r="J57" s="39" t="n"/>
      <c r="K57" s="39" t="n">
        <v>0</v>
      </c>
      <c r="L57" s="40">
        <f>IF(I57&gt;0, MAX(0, I57-J57-K57), 0)</f>
        <v/>
      </c>
      <c r="M57" s="41" t="n">
        <v>0.5</v>
      </c>
      <c r="N57" s="42">
        <f>L57*M57</f>
        <v/>
      </c>
    </row>
    <row r="58" ht="19" customHeight="1">
      <c r="A58" s="37" t="inlineStr">
        <is>
          <t>04/09/2026</t>
        </is>
      </c>
      <c r="B58" s="37" t="inlineStr">
        <is>
          <t>Viernes</t>
        </is>
      </c>
      <c r="C58" s="37" t="inlineStr">
        <is>
          <t>Sucursal Central</t>
        </is>
      </c>
      <c r="D58" s="37" t="n">
        <v>55</v>
      </c>
      <c r="E58" s="37" t="inlineStr">
        <is>
          <t>Pan Dulce</t>
        </is>
      </c>
      <c r="F58" s="38" t="inlineStr">
        <is>
          <t>Pan Dulce Pequeño</t>
        </is>
      </c>
      <c r="G58" s="37" t="n">
        <v>40</v>
      </c>
      <c r="H58" s="39" t="n"/>
      <c r="I58" s="39">
        <f>IF(H58&gt;0, H58*G58, "")</f>
        <v/>
      </c>
      <c r="J58" s="39" t="n"/>
      <c r="K58" s="39" t="n">
        <v>0</v>
      </c>
      <c r="L58" s="40">
        <f>IF(I58&gt;0, MAX(0, I58-J58-K58), 0)</f>
        <v/>
      </c>
      <c r="M58" s="41" t="n">
        <v>0.5</v>
      </c>
      <c r="N58" s="42">
        <f>L58*M58</f>
        <v/>
      </c>
    </row>
    <row r="59" ht="19" customHeight="1">
      <c r="A59" s="37" t="inlineStr">
        <is>
          <t>04/09/2026</t>
        </is>
      </c>
      <c r="B59" s="37" t="inlineStr">
        <is>
          <t>Viernes</t>
        </is>
      </c>
      <c r="C59" s="37" t="inlineStr">
        <is>
          <t>Sucursal Central</t>
        </is>
      </c>
      <c r="D59" s="37" t="n">
        <v>56</v>
      </c>
      <c r="E59" s="37" t="inlineStr">
        <is>
          <t>Pan Dulce</t>
        </is>
      </c>
      <c r="F59" s="38" t="inlineStr">
        <is>
          <t>Pan Dulce Grande</t>
        </is>
      </c>
      <c r="G59" s="37" t="n">
        <v>20</v>
      </c>
      <c r="H59" s="39" t="n"/>
      <c r="I59" s="39">
        <f>IF(H59&gt;0, H59*G59, "")</f>
        <v/>
      </c>
      <c r="J59" s="39" t="n"/>
      <c r="K59" s="39" t="n">
        <v>0</v>
      </c>
      <c r="L59" s="40">
        <f>IF(I59&gt;0, MAX(0, I59-J59-K59), 0)</f>
        <v/>
      </c>
      <c r="M59" s="41" t="n">
        <v>1.25</v>
      </c>
      <c r="N59" s="42">
        <f>L59*M59</f>
        <v/>
      </c>
    </row>
    <row r="60" ht="19" customHeight="1">
      <c r="A60" s="37" t="inlineStr">
        <is>
          <t>04/09/2026</t>
        </is>
      </c>
      <c r="B60" s="37" t="inlineStr">
        <is>
          <t>Viernes</t>
        </is>
      </c>
      <c r="C60" s="37" t="inlineStr">
        <is>
          <t>Sucursal Central</t>
        </is>
      </c>
      <c r="D60" s="37" t="n">
        <v>57</v>
      </c>
      <c r="E60" s="37" t="inlineStr">
        <is>
          <t>Galletas</t>
        </is>
      </c>
      <c r="F60" s="38" t="inlineStr">
        <is>
          <t>Pan Galleta</t>
        </is>
      </c>
      <c r="G60" s="37" t="n">
        <v>20</v>
      </c>
      <c r="H60" s="39" t="n"/>
      <c r="I60" s="39">
        <f>IF(H60&gt;0, H60*G60, "")</f>
        <v/>
      </c>
      <c r="J60" s="39" t="n"/>
      <c r="K60" s="39" t="n">
        <v>0</v>
      </c>
      <c r="L60" s="40">
        <f>IF(I60&gt;0, MAX(0, I60-J60-K60), 0)</f>
        <v/>
      </c>
      <c r="M60" s="41" t="n">
        <v>1.25</v>
      </c>
      <c r="N60" s="42">
        <f>L60*M60</f>
        <v/>
      </c>
    </row>
    <row r="61" ht="19" customHeight="1">
      <c r="A61" s="37" t="inlineStr">
        <is>
          <t>04/09/2026</t>
        </is>
      </c>
      <c r="B61" s="37" t="inlineStr">
        <is>
          <t>Viernes</t>
        </is>
      </c>
      <c r="C61" s="37" t="inlineStr">
        <is>
          <t>Sucursal Central</t>
        </is>
      </c>
      <c r="D61" s="37" t="n">
        <v>58</v>
      </c>
      <c r="E61" s="37" t="inlineStr">
        <is>
          <t>Galletas</t>
        </is>
      </c>
      <c r="F61" s="38" t="inlineStr">
        <is>
          <t>Champurrada Pequeña</t>
        </is>
      </c>
      <c r="G61" s="37" t="n">
        <v>24</v>
      </c>
      <c r="H61" s="39" t="n"/>
      <c r="I61" s="39">
        <f>IF(H61&gt;0, H61*G61, "")</f>
        <v/>
      </c>
      <c r="J61" s="39" t="n"/>
      <c r="K61" s="39" t="n">
        <v>0</v>
      </c>
      <c r="L61" s="40">
        <f>IF(I61&gt;0, MAX(0, I61-J61-K61), 0)</f>
        <v/>
      </c>
      <c r="M61" s="41" t="n">
        <v>0.5</v>
      </c>
      <c r="N61" s="42">
        <f>L61*M61</f>
        <v/>
      </c>
    </row>
    <row r="62" ht="19" customHeight="1">
      <c r="A62" s="37" t="inlineStr">
        <is>
          <t>04/09/2026</t>
        </is>
      </c>
      <c r="B62" s="37" t="inlineStr">
        <is>
          <t>Viernes</t>
        </is>
      </c>
      <c r="C62" s="37" t="inlineStr">
        <is>
          <t>Sucursal Central</t>
        </is>
      </c>
      <c r="D62" s="37" t="n">
        <v>59</v>
      </c>
      <c r="E62" s="37" t="inlineStr">
        <is>
          <t>Galletas</t>
        </is>
      </c>
      <c r="F62" s="38" t="inlineStr">
        <is>
          <t>Champurrada Grande</t>
        </is>
      </c>
      <c r="G62" s="37" t="n">
        <v>15</v>
      </c>
      <c r="H62" s="39" t="n"/>
      <c r="I62" s="39">
        <f>IF(H62&gt;0, H62*G62, "")</f>
        <v/>
      </c>
      <c r="J62" s="39" t="n"/>
      <c r="K62" s="39" t="n">
        <v>0</v>
      </c>
      <c r="L62" s="40">
        <f>IF(I62&gt;0, MAX(0, I62-J62-K62), 0)</f>
        <v/>
      </c>
      <c r="M62" s="41" t="n">
        <v>1.25</v>
      </c>
      <c r="N62" s="42">
        <f>L62*M62</f>
        <v/>
      </c>
    </row>
    <row r="63" ht="19" customHeight="1">
      <c r="A63" s="37" t="inlineStr">
        <is>
          <t>04/09/2026</t>
        </is>
      </c>
      <c r="B63" s="37" t="inlineStr">
        <is>
          <t>Viernes</t>
        </is>
      </c>
      <c r="C63" s="37" t="inlineStr">
        <is>
          <t>Sucursal Central</t>
        </is>
      </c>
      <c r="D63" s="37" t="n">
        <v>60</v>
      </c>
      <c r="E63" s="37" t="inlineStr">
        <is>
          <t>Reposteria</t>
        </is>
      </c>
      <c r="F63" s="38" t="inlineStr">
        <is>
          <t>Cubilete de Vainilla</t>
        </is>
      </c>
      <c r="G63" s="37" t="n">
        <v>30</v>
      </c>
      <c r="H63" s="39" t="n"/>
      <c r="I63" s="39">
        <f>IF(H63&gt;0, H63*G63, "")</f>
        <v/>
      </c>
      <c r="J63" s="39" t="n"/>
      <c r="K63" s="39" t="n">
        <v>0</v>
      </c>
      <c r="L63" s="40">
        <f>IF(I63&gt;0, MAX(0, I63-J63-K63), 0)</f>
        <v/>
      </c>
      <c r="M63" s="41" t="n">
        <v>2</v>
      </c>
      <c r="N63" s="42">
        <f>L63*M63</f>
        <v/>
      </c>
    </row>
    <row r="64" ht="19" customHeight="1">
      <c r="A64" s="37" t="inlineStr">
        <is>
          <t>04/09/2026</t>
        </is>
      </c>
      <c r="B64" s="37" t="inlineStr">
        <is>
          <t>Viernes</t>
        </is>
      </c>
      <c r="C64" s="37" t="inlineStr">
        <is>
          <t>Sucursal Central</t>
        </is>
      </c>
      <c r="D64" s="37" t="n">
        <v>61</v>
      </c>
      <c r="E64" s="37" t="inlineStr">
        <is>
          <t>Reposteria</t>
        </is>
      </c>
      <c r="F64" s="38" t="inlineStr">
        <is>
          <t>Cubilete de Banano</t>
        </is>
      </c>
      <c r="G64" s="37" t="n">
        <v>30</v>
      </c>
      <c r="H64" s="39" t="n"/>
      <c r="I64" s="39">
        <f>IF(H64&gt;0, H64*G64, "")</f>
        <v/>
      </c>
      <c r="J64" s="39" t="n"/>
      <c r="K64" s="39" t="n">
        <v>0</v>
      </c>
      <c r="L64" s="40">
        <f>IF(I64&gt;0, MAX(0, I64-J64-K64), 0)</f>
        <v/>
      </c>
      <c r="M64" s="41" t="n">
        <v>2</v>
      </c>
      <c r="N64" s="42">
        <f>L64*M64</f>
        <v/>
      </c>
    </row>
    <row r="65" ht="19" customHeight="1">
      <c r="A65" s="37" t="inlineStr">
        <is>
          <t>04/09/2026</t>
        </is>
      </c>
      <c r="B65" s="37" t="inlineStr">
        <is>
          <t>Viernes</t>
        </is>
      </c>
      <c r="C65" s="37" t="inlineStr">
        <is>
          <t>Sucursal Central</t>
        </is>
      </c>
      <c r="D65" s="37" t="n">
        <v>62</v>
      </c>
      <c r="E65" s="37" t="inlineStr">
        <is>
          <t>Reposteria</t>
        </is>
      </c>
      <c r="F65" s="38" t="inlineStr">
        <is>
          <t>Empanada de Piña</t>
        </is>
      </c>
      <c r="G65" s="37" t="n">
        <v>16</v>
      </c>
      <c r="H65" s="39" t="n"/>
      <c r="I65" s="39">
        <f>IF(H65&gt;0, H65*G65, "")</f>
        <v/>
      </c>
      <c r="J65" s="39" t="n"/>
      <c r="K65" s="39" t="n">
        <v>0</v>
      </c>
      <c r="L65" s="40">
        <f>IF(I65&gt;0, MAX(0, I65-J65-K65), 0)</f>
        <v/>
      </c>
      <c r="M65" s="41" t="n">
        <v>2.5</v>
      </c>
      <c r="N65" s="42">
        <f>L65*M65</f>
        <v/>
      </c>
    </row>
    <row r="66" ht="19" customHeight="1">
      <c r="A66" s="37" t="inlineStr">
        <is>
          <t>04/09/2026</t>
        </is>
      </c>
      <c r="B66" s="37" t="inlineStr">
        <is>
          <t>Viernes</t>
        </is>
      </c>
      <c r="C66" s="37" t="inlineStr">
        <is>
          <t>Sucursal Central</t>
        </is>
      </c>
      <c r="D66" s="37" t="n">
        <v>63</v>
      </c>
      <c r="E66" s="37" t="inlineStr">
        <is>
          <t>Reposteria</t>
        </is>
      </c>
      <c r="F66" s="38" t="inlineStr">
        <is>
          <t>Empanada de Manjar</t>
        </is>
      </c>
      <c r="G66" s="37" t="n">
        <v>16</v>
      </c>
      <c r="H66" s="39" t="n"/>
      <c r="I66" s="39">
        <f>IF(H66&gt;0, H66*G66, "")</f>
        <v/>
      </c>
      <c r="J66" s="39" t="n"/>
      <c r="K66" s="39" t="n">
        <v>0</v>
      </c>
      <c r="L66" s="40">
        <f>IF(I66&gt;0, MAX(0, I66-J66-K66), 0)</f>
        <v/>
      </c>
      <c r="M66" s="41" t="n">
        <v>2.5</v>
      </c>
      <c r="N66" s="42">
        <f>L66*M66</f>
        <v/>
      </c>
    </row>
    <row r="67" ht="19" customHeight="1">
      <c r="A67" s="37" t="inlineStr">
        <is>
          <t>04/09/2026</t>
        </is>
      </c>
      <c r="B67" s="37" t="inlineStr">
        <is>
          <t>Viernes</t>
        </is>
      </c>
      <c r="C67" s="37" t="inlineStr">
        <is>
          <t>Sucursal Central</t>
        </is>
      </c>
      <c r="D67" s="37" t="n">
        <v>64</v>
      </c>
      <c r="E67" s="37" t="inlineStr">
        <is>
          <t>Galletas</t>
        </is>
      </c>
      <c r="F67" s="38" t="inlineStr">
        <is>
          <t>Polvorosa Tradicional</t>
        </is>
      </c>
      <c r="G67" s="37" t="n">
        <v>15</v>
      </c>
      <c r="H67" s="39" t="n"/>
      <c r="I67" s="39">
        <f>IF(H67&gt;0, H67*G67, "")</f>
        <v/>
      </c>
      <c r="J67" s="39" t="n"/>
      <c r="K67" s="39" t="n">
        <v>0</v>
      </c>
      <c r="L67" s="40">
        <f>IF(I67&gt;0, MAX(0, I67-J67-K67), 0)</f>
        <v/>
      </c>
      <c r="M67" s="41" t="n">
        <v>1.25</v>
      </c>
      <c r="N67" s="42">
        <f>L67*M67</f>
        <v/>
      </c>
    </row>
    <row r="68" ht="19" customHeight="1">
      <c r="A68" s="37" t="inlineStr">
        <is>
          <t>04/09/2026</t>
        </is>
      </c>
      <c r="B68" s="37" t="inlineStr">
        <is>
          <t>Viernes</t>
        </is>
      </c>
      <c r="C68" s="37" t="inlineStr">
        <is>
          <t>Sucursal Central</t>
        </is>
      </c>
      <c r="D68" s="37" t="n">
        <v>65</v>
      </c>
      <c r="E68" s="37" t="inlineStr">
        <is>
          <t>Donas</t>
        </is>
      </c>
      <c r="F68" s="38" t="inlineStr">
        <is>
          <t>Dona Simple Glaseada</t>
        </is>
      </c>
      <c r="G68" s="37" t="n">
        <v>24</v>
      </c>
      <c r="H68" s="39" t="n"/>
      <c r="I68" s="39">
        <f>IF(H68&gt;0, H68*G68, "")</f>
        <v/>
      </c>
      <c r="J68" s="39" t="n"/>
      <c r="K68" s="39" t="n">
        <v>0</v>
      </c>
      <c r="L68" s="40">
        <f>IF(I68&gt;0, MAX(0, I68-J68-K68), 0)</f>
        <v/>
      </c>
      <c r="M68" s="41" t="n">
        <v>2.5</v>
      </c>
      <c r="N68" s="42">
        <f>L68*M68</f>
        <v/>
      </c>
    </row>
    <row r="69" ht="19" customHeight="1">
      <c r="A69" s="37" t="inlineStr">
        <is>
          <t>04/09/2026</t>
        </is>
      </c>
      <c r="B69" s="37" t="inlineStr">
        <is>
          <t>Viernes</t>
        </is>
      </c>
      <c r="C69" s="37" t="inlineStr">
        <is>
          <t>Sucursal Central</t>
        </is>
      </c>
      <c r="D69" s="37" t="n">
        <v>66</v>
      </c>
      <c r="E69" s="37" t="inlineStr">
        <is>
          <t>Donas</t>
        </is>
      </c>
      <c r="F69" s="38" t="inlineStr">
        <is>
          <t>Dona Rellena de Manjar</t>
        </is>
      </c>
      <c r="G69" s="37" t="n">
        <v>24</v>
      </c>
      <c r="H69" s="39" t="n"/>
      <c r="I69" s="39">
        <f>IF(H69&gt;0, H69*G69, "")</f>
        <v/>
      </c>
      <c r="J69" s="39" t="n"/>
      <c r="K69" s="39" t="n">
        <v>0</v>
      </c>
      <c r="L69" s="40">
        <f>IF(I69&gt;0, MAX(0, I69-J69-K69), 0)</f>
        <v/>
      </c>
      <c r="M69" s="41" t="n">
        <v>4</v>
      </c>
      <c r="N69" s="42">
        <f>L69*M69</f>
        <v/>
      </c>
    </row>
    <row r="70" ht="19" customHeight="1">
      <c r="A70" s="37" t="inlineStr">
        <is>
          <t>04/09/2026</t>
        </is>
      </c>
      <c r="B70" s="37" t="inlineStr">
        <is>
          <t>Viernes</t>
        </is>
      </c>
      <c r="C70" s="37" t="inlineStr">
        <is>
          <t>Sucursal Central</t>
        </is>
      </c>
      <c r="D70" s="37" t="n">
        <v>67</v>
      </c>
      <c r="E70" s="37" t="inlineStr">
        <is>
          <t>Donas</t>
        </is>
      </c>
      <c r="F70" s="38" t="inlineStr">
        <is>
          <t>Dona Rellena de Fresa</t>
        </is>
      </c>
      <c r="G70" s="37" t="n">
        <v>24</v>
      </c>
      <c r="H70" s="39" t="n"/>
      <c r="I70" s="39">
        <f>IF(H70&gt;0, H70*G70, "")</f>
        <v/>
      </c>
      <c r="J70" s="39" t="n"/>
      <c r="K70" s="39" t="n">
        <v>0</v>
      </c>
      <c r="L70" s="40">
        <f>IF(I70&gt;0, MAX(0, I70-J70-K70), 0)</f>
        <v/>
      </c>
      <c r="M70" s="41" t="n">
        <v>4</v>
      </c>
      <c r="N70" s="42">
        <f>L70*M70</f>
        <v/>
      </c>
    </row>
    <row r="71" ht="19" customHeight="1">
      <c r="A71" s="37" t="inlineStr">
        <is>
          <t>04/09/2026</t>
        </is>
      </c>
      <c r="B71" s="37" t="inlineStr">
        <is>
          <t>Viernes</t>
        </is>
      </c>
      <c r="C71" s="37" t="inlineStr">
        <is>
          <t>Sucursal Central</t>
        </is>
      </c>
      <c r="D71" s="37" t="n">
        <v>68</v>
      </c>
      <c r="E71" s="37" t="inlineStr">
        <is>
          <t>Pan Dulce</t>
        </is>
      </c>
      <c r="F71" s="38" t="inlineStr">
        <is>
          <t>Campechana</t>
        </is>
      </c>
      <c r="G71" s="37" t="n">
        <v>20</v>
      </c>
      <c r="H71" s="39" t="n"/>
      <c r="I71" s="39">
        <f>IF(H71&gt;0, H71*G71, "")</f>
        <v/>
      </c>
      <c r="J71" s="39" t="n"/>
      <c r="K71" s="39" t="n">
        <v>0</v>
      </c>
      <c r="L71" s="40">
        <f>IF(I71&gt;0, MAX(0, I71-J71-K71), 0)</f>
        <v/>
      </c>
      <c r="M71" s="41" t="n">
        <v>1.25</v>
      </c>
      <c r="N71" s="42">
        <f>L71*M71</f>
        <v/>
      </c>
    </row>
    <row r="72" ht="19" customHeight="1">
      <c r="A72" s="37" t="inlineStr">
        <is>
          <t>04/09/2026</t>
        </is>
      </c>
      <c r="B72" s="37" t="inlineStr">
        <is>
          <t>Viernes</t>
        </is>
      </c>
      <c r="C72" s="37" t="inlineStr">
        <is>
          <t>Sucursal Central</t>
        </is>
      </c>
      <c r="D72" s="37" t="n">
        <v>69</v>
      </c>
      <c r="E72" s="37" t="inlineStr">
        <is>
          <t>Pan Dulce</t>
        </is>
      </c>
      <c r="F72" s="38" t="inlineStr">
        <is>
          <t>Pasitas</t>
        </is>
      </c>
      <c r="G72" s="37" t="n">
        <v>30</v>
      </c>
      <c r="H72" s="39" t="n"/>
      <c r="I72" s="39">
        <f>IF(H72&gt;0, H72*G72, "")</f>
        <v/>
      </c>
      <c r="J72" s="39" t="n"/>
      <c r="K72" s="39" t="n">
        <v>0</v>
      </c>
      <c r="L72" s="40">
        <f>IF(I72&gt;0, MAX(0, I72-J72-K72), 0)</f>
        <v/>
      </c>
      <c r="M72" s="41" t="n">
        <v>0.75</v>
      </c>
      <c r="N72" s="42">
        <f>L72*M72</f>
        <v/>
      </c>
    </row>
    <row r="73" ht="19" customHeight="1">
      <c r="A73" s="37" t="inlineStr">
        <is>
          <t>04/09/2026</t>
        </is>
      </c>
      <c r="B73" s="37" t="inlineStr">
        <is>
          <t>Viernes</t>
        </is>
      </c>
      <c r="C73" s="37" t="inlineStr">
        <is>
          <t>Sucursal Central</t>
        </is>
      </c>
      <c r="D73" s="37" t="n">
        <v>70</v>
      </c>
      <c r="E73" s="37" t="inlineStr">
        <is>
          <t>Reposteria</t>
        </is>
      </c>
      <c r="F73" s="38" t="inlineStr">
        <is>
          <t>Cortada de Fresa</t>
        </is>
      </c>
      <c r="G73" s="37" t="n">
        <v>14</v>
      </c>
      <c r="H73" s="39" t="n"/>
      <c r="I73" s="39">
        <f>IF(H73&gt;0, H73*G73, "")</f>
        <v/>
      </c>
      <c r="J73" s="39" t="n"/>
      <c r="K73" s="39" t="n">
        <v>0</v>
      </c>
      <c r="L73" s="40">
        <f>IF(I73&gt;0, MAX(0, I73-J73-K73), 0)</f>
        <v/>
      </c>
      <c r="M73" s="41" t="n">
        <v>2.5</v>
      </c>
      <c r="N73" s="42">
        <f>L73*M73</f>
        <v/>
      </c>
    </row>
    <row r="74" ht="19" customHeight="1">
      <c r="A74" s="37" t="inlineStr">
        <is>
          <t>04/09/2026</t>
        </is>
      </c>
      <c r="B74" s="37" t="inlineStr">
        <is>
          <t>Viernes</t>
        </is>
      </c>
      <c r="C74" s="37" t="inlineStr">
        <is>
          <t>Sucursal Central</t>
        </is>
      </c>
      <c r="D74" s="37" t="n">
        <v>71</v>
      </c>
      <c r="E74" s="37" t="inlineStr">
        <is>
          <t>Reposteria</t>
        </is>
      </c>
      <c r="F74" s="38" t="inlineStr">
        <is>
          <t>Cortada de Chocolate</t>
        </is>
      </c>
      <c r="G74" s="37" t="n">
        <v>14</v>
      </c>
      <c r="H74" s="39" t="n"/>
      <c r="I74" s="39">
        <f>IF(H74&gt;0, H74*G74, "")</f>
        <v/>
      </c>
      <c r="J74" s="39" t="n"/>
      <c r="K74" s="39" t="n">
        <v>0</v>
      </c>
      <c r="L74" s="40">
        <f>IF(I74&gt;0, MAX(0, I74-J74-K74), 0)</f>
        <v/>
      </c>
      <c r="M74" s="41" t="n">
        <v>2.5</v>
      </c>
      <c r="N74" s="42">
        <f>L74*M74</f>
        <v/>
      </c>
    </row>
    <row r="75" ht="19" customHeight="1">
      <c r="A75" s="31" t="inlineStr">
        <is>
          <t>05/09/2026</t>
        </is>
      </c>
      <c r="B75" s="31" t="inlineStr">
        <is>
          <t>Sábado</t>
        </is>
      </c>
      <c r="C75" s="31" t="inlineStr">
        <is>
          <t>Sucursal Central</t>
        </is>
      </c>
      <c r="D75" s="31" t="n">
        <v>54</v>
      </c>
      <c r="E75" s="31" t="inlineStr">
        <is>
          <t>Pan</t>
        </is>
      </c>
      <c r="F75" s="32" t="inlineStr">
        <is>
          <t>Pan Francés Tradicional</t>
        </is>
      </c>
      <c r="G75" s="31" t="n">
        <v>36</v>
      </c>
      <c r="H75" s="33" t="n"/>
      <c r="I75" s="33">
        <f>IF(H75&gt;0, H75*G75, "")</f>
        <v/>
      </c>
      <c r="J75" s="33" t="n"/>
      <c r="K75" s="33" t="n">
        <v>0</v>
      </c>
      <c r="L75" s="34">
        <f>IF(I75&gt;0, MAX(0, I75-J75-K75), 0)</f>
        <v/>
      </c>
      <c r="M75" s="35" t="n">
        <v>0.5</v>
      </c>
      <c r="N75" s="36">
        <f>L75*M75</f>
        <v/>
      </c>
    </row>
    <row r="76" ht="19" customHeight="1">
      <c r="A76" s="31" t="inlineStr">
        <is>
          <t>05/09/2026</t>
        </is>
      </c>
      <c r="B76" s="31" t="inlineStr">
        <is>
          <t>Sábado</t>
        </is>
      </c>
      <c r="C76" s="31" t="inlineStr">
        <is>
          <t>Sucursal Central</t>
        </is>
      </c>
      <c r="D76" s="31" t="n">
        <v>55</v>
      </c>
      <c r="E76" s="31" t="inlineStr">
        <is>
          <t>Pan Dulce</t>
        </is>
      </c>
      <c r="F76" s="32" t="inlineStr">
        <is>
          <t>Pan Dulce Pequeño</t>
        </is>
      </c>
      <c r="G76" s="31" t="n">
        <v>40</v>
      </c>
      <c r="H76" s="33" t="n"/>
      <c r="I76" s="33">
        <f>IF(H76&gt;0, H76*G76, "")</f>
        <v/>
      </c>
      <c r="J76" s="33" t="n"/>
      <c r="K76" s="33" t="n">
        <v>0</v>
      </c>
      <c r="L76" s="34">
        <f>IF(I76&gt;0, MAX(0, I76-J76-K76), 0)</f>
        <v/>
      </c>
      <c r="M76" s="35" t="n">
        <v>0.5</v>
      </c>
      <c r="N76" s="36">
        <f>L76*M76</f>
        <v/>
      </c>
    </row>
    <row r="77" ht="19" customHeight="1">
      <c r="A77" s="31" t="inlineStr">
        <is>
          <t>05/09/2026</t>
        </is>
      </c>
      <c r="B77" s="31" t="inlineStr">
        <is>
          <t>Sábado</t>
        </is>
      </c>
      <c r="C77" s="31" t="inlineStr">
        <is>
          <t>Sucursal Central</t>
        </is>
      </c>
      <c r="D77" s="31" t="n">
        <v>56</v>
      </c>
      <c r="E77" s="31" t="inlineStr">
        <is>
          <t>Pan Dulce</t>
        </is>
      </c>
      <c r="F77" s="32" t="inlineStr">
        <is>
          <t>Pan Dulce Grande</t>
        </is>
      </c>
      <c r="G77" s="31" t="n">
        <v>20</v>
      </c>
      <c r="H77" s="33" t="n"/>
      <c r="I77" s="33">
        <f>IF(H77&gt;0, H77*G77, "")</f>
        <v/>
      </c>
      <c r="J77" s="33" t="n"/>
      <c r="K77" s="33" t="n">
        <v>0</v>
      </c>
      <c r="L77" s="34">
        <f>IF(I77&gt;0, MAX(0, I77-J77-K77), 0)</f>
        <v/>
      </c>
      <c r="M77" s="35" t="n">
        <v>1.25</v>
      </c>
      <c r="N77" s="36">
        <f>L77*M77</f>
        <v/>
      </c>
    </row>
    <row r="78" ht="19" customHeight="1">
      <c r="A78" s="31" t="inlineStr">
        <is>
          <t>05/09/2026</t>
        </is>
      </c>
      <c r="B78" s="31" t="inlineStr">
        <is>
          <t>Sábado</t>
        </is>
      </c>
      <c r="C78" s="31" t="inlineStr">
        <is>
          <t>Sucursal Central</t>
        </is>
      </c>
      <c r="D78" s="31" t="n">
        <v>57</v>
      </c>
      <c r="E78" s="31" t="inlineStr">
        <is>
          <t>Galletas</t>
        </is>
      </c>
      <c r="F78" s="32" t="inlineStr">
        <is>
          <t>Pan Galleta</t>
        </is>
      </c>
      <c r="G78" s="31" t="n">
        <v>20</v>
      </c>
      <c r="H78" s="33" t="n"/>
      <c r="I78" s="33">
        <f>IF(H78&gt;0, H78*G78, "")</f>
        <v/>
      </c>
      <c r="J78" s="33" t="n"/>
      <c r="K78" s="33" t="n">
        <v>0</v>
      </c>
      <c r="L78" s="34">
        <f>IF(I78&gt;0, MAX(0, I78-J78-K78), 0)</f>
        <v/>
      </c>
      <c r="M78" s="35" t="n">
        <v>1.25</v>
      </c>
      <c r="N78" s="36">
        <f>L78*M78</f>
        <v/>
      </c>
    </row>
    <row r="79" ht="19" customHeight="1">
      <c r="A79" s="31" t="inlineStr">
        <is>
          <t>05/09/2026</t>
        </is>
      </c>
      <c r="B79" s="31" t="inlineStr">
        <is>
          <t>Sábado</t>
        </is>
      </c>
      <c r="C79" s="31" t="inlineStr">
        <is>
          <t>Sucursal Central</t>
        </is>
      </c>
      <c r="D79" s="31" t="n">
        <v>58</v>
      </c>
      <c r="E79" s="31" t="inlineStr">
        <is>
          <t>Galletas</t>
        </is>
      </c>
      <c r="F79" s="32" t="inlineStr">
        <is>
          <t>Champurrada Pequeña</t>
        </is>
      </c>
      <c r="G79" s="31" t="n">
        <v>24</v>
      </c>
      <c r="H79" s="33" t="n"/>
      <c r="I79" s="33">
        <f>IF(H79&gt;0, H79*G79, "")</f>
        <v/>
      </c>
      <c r="J79" s="33" t="n"/>
      <c r="K79" s="33" t="n">
        <v>0</v>
      </c>
      <c r="L79" s="34">
        <f>IF(I79&gt;0, MAX(0, I79-J79-K79), 0)</f>
        <v/>
      </c>
      <c r="M79" s="35" t="n">
        <v>0.5</v>
      </c>
      <c r="N79" s="36">
        <f>L79*M79</f>
        <v/>
      </c>
    </row>
    <row r="80" ht="19" customHeight="1">
      <c r="A80" s="31" t="inlineStr">
        <is>
          <t>05/09/2026</t>
        </is>
      </c>
      <c r="B80" s="31" t="inlineStr">
        <is>
          <t>Sábado</t>
        </is>
      </c>
      <c r="C80" s="31" t="inlineStr">
        <is>
          <t>Sucursal Central</t>
        </is>
      </c>
      <c r="D80" s="31" t="n">
        <v>59</v>
      </c>
      <c r="E80" s="31" t="inlineStr">
        <is>
          <t>Galletas</t>
        </is>
      </c>
      <c r="F80" s="32" t="inlineStr">
        <is>
          <t>Champurrada Grande</t>
        </is>
      </c>
      <c r="G80" s="31" t="n">
        <v>15</v>
      </c>
      <c r="H80" s="33" t="n"/>
      <c r="I80" s="33">
        <f>IF(H80&gt;0, H80*G80, "")</f>
        <v/>
      </c>
      <c r="J80" s="33" t="n"/>
      <c r="K80" s="33" t="n">
        <v>0</v>
      </c>
      <c r="L80" s="34">
        <f>IF(I80&gt;0, MAX(0, I80-J80-K80), 0)</f>
        <v/>
      </c>
      <c r="M80" s="35" t="n">
        <v>1.25</v>
      </c>
      <c r="N80" s="36">
        <f>L80*M80</f>
        <v/>
      </c>
    </row>
    <row r="81" ht="19" customHeight="1">
      <c r="A81" s="31" t="inlineStr">
        <is>
          <t>05/09/2026</t>
        </is>
      </c>
      <c r="B81" s="31" t="inlineStr">
        <is>
          <t>Sábado</t>
        </is>
      </c>
      <c r="C81" s="31" t="inlineStr">
        <is>
          <t>Sucursal Central</t>
        </is>
      </c>
      <c r="D81" s="31" t="n">
        <v>60</v>
      </c>
      <c r="E81" s="31" t="inlineStr">
        <is>
          <t>Reposteria</t>
        </is>
      </c>
      <c r="F81" s="32" t="inlineStr">
        <is>
          <t>Cubilete de Vainilla</t>
        </is>
      </c>
      <c r="G81" s="31" t="n">
        <v>30</v>
      </c>
      <c r="H81" s="33" t="n"/>
      <c r="I81" s="33">
        <f>IF(H81&gt;0, H81*G81, "")</f>
        <v/>
      </c>
      <c r="J81" s="33" t="n"/>
      <c r="K81" s="33" t="n">
        <v>0</v>
      </c>
      <c r="L81" s="34">
        <f>IF(I81&gt;0, MAX(0, I81-J81-K81), 0)</f>
        <v/>
      </c>
      <c r="M81" s="35" t="n">
        <v>2</v>
      </c>
      <c r="N81" s="36">
        <f>L81*M81</f>
        <v/>
      </c>
    </row>
    <row r="82" ht="19" customHeight="1">
      <c r="A82" s="31" t="inlineStr">
        <is>
          <t>05/09/2026</t>
        </is>
      </c>
      <c r="B82" s="31" t="inlineStr">
        <is>
          <t>Sábado</t>
        </is>
      </c>
      <c r="C82" s="31" t="inlineStr">
        <is>
          <t>Sucursal Central</t>
        </is>
      </c>
      <c r="D82" s="31" t="n">
        <v>61</v>
      </c>
      <c r="E82" s="31" t="inlineStr">
        <is>
          <t>Reposteria</t>
        </is>
      </c>
      <c r="F82" s="32" t="inlineStr">
        <is>
          <t>Cubilete de Banano</t>
        </is>
      </c>
      <c r="G82" s="31" t="n">
        <v>30</v>
      </c>
      <c r="H82" s="33" t="n"/>
      <c r="I82" s="33">
        <f>IF(H82&gt;0, H82*G82, "")</f>
        <v/>
      </c>
      <c r="J82" s="33" t="n"/>
      <c r="K82" s="33" t="n">
        <v>0</v>
      </c>
      <c r="L82" s="34">
        <f>IF(I82&gt;0, MAX(0, I82-J82-K82), 0)</f>
        <v/>
      </c>
      <c r="M82" s="35" t="n">
        <v>2</v>
      </c>
      <c r="N82" s="36">
        <f>L82*M82</f>
        <v/>
      </c>
    </row>
    <row r="83" ht="19" customHeight="1">
      <c r="A83" s="31" t="inlineStr">
        <is>
          <t>05/09/2026</t>
        </is>
      </c>
      <c r="B83" s="31" t="inlineStr">
        <is>
          <t>Sábado</t>
        </is>
      </c>
      <c r="C83" s="31" t="inlineStr">
        <is>
          <t>Sucursal Central</t>
        </is>
      </c>
      <c r="D83" s="31" t="n">
        <v>62</v>
      </c>
      <c r="E83" s="31" t="inlineStr">
        <is>
          <t>Reposteria</t>
        </is>
      </c>
      <c r="F83" s="32" t="inlineStr">
        <is>
          <t>Empanada de Piña</t>
        </is>
      </c>
      <c r="G83" s="31" t="n">
        <v>16</v>
      </c>
      <c r="H83" s="33" t="n"/>
      <c r="I83" s="33">
        <f>IF(H83&gt;0, H83*G83, "")</f>
        <v/>
      </c>
      <c r="J83" s="33" t="n"/>
      <c r="K83" s="33" t="n">
        <v>0</v>
      </c>
      <c r="L83" s="34">
        <f>IF(I83&gt;0, MAX(0, I83-J83-K83), 0)</f>
        <v/>
      </c>
      <c r="M83" s="35" t="n">
        <v>2.5</v>
      </c>
      <c r="N83" s="36">
        <f>L83*M83</f>
        <v/>
      </c>
    </row>
    <row r="84" ht="19" customHeight="1">
      <c r="A84" s="31" t="inlineStr">
        <is>
          <t>05/09/2026</t>
        </is>
      </c>
      <c r="B84" s="31" t="inlineStr">
        <is>
          <t>Sábado</t>
        </is>
      </c>
      <c r="C84" s="31" t="inlineStr">
        <is>
          <t>Sucursal Central</t>
        </is>
      </c>
      <c r="D84" s="31" t="n">
        <v>63</v>
      </c>
      <c r="E84" s="31" t="inlineStr">
        <is>
          <t>Reposteria</t>
        </is>
      </c>
      <c r="F84" s="32" t="inlineStr">
        <is>
          <t>Empanada de Manjar</t>
        </is>
      </c>
      <c r="G84" s="31" t="n">
        <v>16</v>
      </c>
      <c r="H84" s="33" t="n"/>
      <c r="I84" s="33">
        <f>IF(H84&gt;0, H84*G84, "")</f>
        <v/>
      </c>
      <c r="J84" s="33" t="n"/>
      <c r="K84" s="33" t="n">
        <v>0</v>
      </c>
      <c r="L84" s="34">
        <f>IF(I84&gt;0, MAX(0, I84-J84-K84), 0)</f>
        <v/>
      </c>
      <c r="M84" s="35" t="n">
        <v>2.5</v>
      </c>
      <c r="N84" s="36">
        <f>L84*M84</f>
        <v/>
      </c>
    </row>
    <row r="85" ht="19" customHeight="1">
      <c r="A85" s="31" t="inlineStr">
        <is>
          <t>05/09/2026</t>
        </is>
      </c>
      <c r="B85" s="31" t="inlineStr">
        <is>
          <t>Sábado</t>
        </is>
      </c>
      <c r="C85" s="31" t="inlineStr">
        <is>
          <t>Sucursal Central</t>
        </is>
      </c>
      <c r="D85" s="31" t="n">
        <v>64</v>
      </c>
      <c r="E85" s="31" t="inlineStr">
        <is>
          <t>Galletas</t>
        </is>
      </c>
      <c r="F85" s="32" t="inlineStr">
        <is>
          <t>Polvorosa Tradicional</t>
        </is>
      </c>
      <c r="G85" s="31" t="n">
        <v>15</v>
      </c>
      <c r="H85" s="33" t="n"/>
      <c r="I85" s="33">
        <f>IF(H85&gt;0, H85*G85, "")</f>
        <v/>
      </c>
      <c r="J85" s="33" t="n"/>
      <c r="K85" s="33" t="n">
        <v>0</v>
      </c>
      <c r="L85" s="34">
        <f>IF(I85&gt;0, MAX(0, I85-J85-K85), 0)</f>
        <v/>
      </c>
      <c r="M85" s="35" t="n">
        <v>1.25</v>
      </c>
      <c r="N85" s="36">
        <f>L85*M85</f>
        <v/>
      </c>
    </row>
    <row r="86" ht="19" customHeight="1">
      <c r="A86" s="31" t="inlineStr">
        <is>
          <t>05/09/2026</t>
        </is>
      </c>
      <c r="B86" s="31" t="inlineStr">
        <is>
          <t>Sábado</t>
        </is>
      </c>
      <c r="C86" s="31" t="inlineStr">
        <is>
          <t>Sucursal Central</t>
        </is>
      </c>
      <c r="D86" s="31" t="n">
        <v>65</v>
      </c>
      <c r="E86" s="31" t="inlineStr">
        <is>
          <t>Donas</t>
        </is>
      </c>
      <c r="F86" s="32" t="inlineStr">
        <is>
          <t>Dona Simple Glaseada</t>
        </is>
      </c>
      <c r="G86" s="31" t="n">
        <v>24</v>
      </c>
      <c r="H86" s="33" t="n"/>
      <c r="I86" s="33">
        <f>IF(H86&gt;0, H86*G86, "")</f>
        <v/>
      </c>
      <c r="J86" s="33" t="n"/>
      <c r="K86" s="33" t="n">
        <v>0</v>
      </c>
      <c r="L86" s="34">
        <f>IF(I86&gt;0, MAX(0, I86-J86-K86), 0)</f>
        <v/>
      </c>
      <c r="M86" s="35" t="n">
        <v>2.5</v>
      </c>
      <c r="N86" s="36">
        <f>L86*M86</f>
        <v/>
      </c>
    </row>
    <row r="87" ht="19" customHeight="1">
      <c r="A87" s="31" t="inlineStr">
        <is>
          <t>05/09/2026</t>
        </is>
      </c>
      <c r="B87" s="31" t="inlineStr">
        <is>
          <t>Sábado</t>
        </is>
      </c>
      <c r="C87" s="31" t="inlineStr">
        <is>
          <t>Sucursal Central</t>
        </is>
      </c>
      <c r="D87" s="31" t="n">
        <v>66</v>
      </c>
      <c r="E87" s="31" t="inlineStr">
        <is>
          <t>Donas</t>
        </is>
      </c>
      <c r="F87" s="32" t="inlineStr">
        <is>
          <t>Dona Rellena de Manjar</t>
        </is>
      </c>
      <c r="G87" s="31" t="n">
        <v>24</v>
      </c>
      <c r="H87" s="33" t="n"/>
      <c r="I87" s="33">
        <f>IF(H87&gt;0, H87*G87, "")</f>
        <v/>
      </c>
      <c r="J87" s="33" t="n"/>
      <c r="K87" s="33" t="n">
        <v>0</v>
      </c>
      <c r="L87" s="34">
        <f>IF(I87&gt;0, MAX(0, I87-J87-K87), 0)</f>
        <v/>
      </c>
      <c r="M87" s="35" t="n">
        <v>4</v>
      </c>
      <c r="N87" s="36">
        <f>L87*M87</f>
        <v/>
      </c>
    </row>
    <row r="88" ht="19" customHeight="1">
      <c r="A88" s="31" t="inlineStr">
        <is>
          <t>05/09/2026</t>
        </is>
      </c>
      <c r="B88" s="31" t="inlineStr">
        <is>
          <t>Sábado</t>
        </is>
      </c>
      <c r="C88" s="31" t="inlineStr">
        <is>
          <t>Sucursal Central</t>
        </is>
      </c>
      <c r="D88" s="31" t="n">
        <v>67</v>
      </c>
      <c r="E88" s="31" t="inlineStr">
        <is>
          <t>Donas</t>
        </is>
      </c>
      <c r="F88" s="32" t="inlineStr">
        <is>
          <t>Dona Rellena de Fresa</t>
        </is>
      </c>
      <c r="G88" s="31" t="n">
        <v>24</v>
      </c>
      <c r="H88" s="33" t="n"/>
      <c r="I88" s="33">
        <f>IF(H88&gt;0, H88*G88, "")</f>
        <v/>
      </c>
      <c r="J88" s="33" t="n"/>
      <c r="K88" s="33" t="n">
        <v>0</v>
      </c>
      <c r="L88" s="34">
        <f>IF(I88&gt;0, MAX(0, I88-J88-K88), 0)</f>
        <v/>
      </c>
      <c r="M88" s="35" t="n">
        <v>4</v>
      </c>
      <c r="N88" s="36">
        <f>L88*M88</f>
        <v/>
      </c>
    </row>
    <row r="89" ht="19" customHeight="1">
      <c r="A89" s="31" t="inlineStr">
        <is>
          <t>05/09/2026</t>
        </is>
      </c>
      <c r="B89" s="31" t="inlineStr">
        <is>
          <t>Sábado</t>
        </is>
      </c>
      <c r="C89" s="31" t="inlineStr">
        <is>
          <t>Sucursal Central</t>
        </is>
      </c>
      <c r="D89" s="31" t="n">
        <v>68</v>
      </c>
      <c r="E89" s="31" t="inlineStr">
        <is>
          <t>Pan Dulce</t>
        </is>
      </c>
      <c r="F89" s="32" t="inlineStr">
        <is>
          <t>Campechana</t>
        </is>
      </c>
      <c r="G89" s="31" t="n">
        <v>20</v>
      </c>
      <c r="H89" s="33" t="n"/>
      <c r="I89" s="33">
        <f>IF(H89&gt;0, H89*G89, "")</f>
        <v/>
      </c>
      <c r="J89" s="33" t="n"/>
      <c r="K89" s="33" t="n">
        <v>0</v>
      </c>
      <c r="L89" s="34">
        <f>IF(I89&gt;0, MAX(0, I89-J89-K89), 0)</f>
        <v/>
      </c>
      <c r="M89" s="35" t="n">
        <v>1.25</v>
      </c>
      <c r="N89" s="36">
        <f>L89*M89</f>
        <v/>
      </c>
    </row>
    <row r="90" ht="19" customHeight="1">
      <c r="A90" s="31" t="inlineStr">
        <is>
          <t>05/09/2026</t>
        </is>
      </c>
      <c r="B90" s="31" t="inlineStr">
        <is>
          <t>Sábado</t>
        </is>
      </c>
      <c r="C90" s="31" t="inlineStr">
        <is>
          <t>Sucursal Central</t>
        </is>
      </c>
      <c r="D90" s="31" t="n">
        <v>69</v>
      </c>
      <c r="E90" s="31" t="inlineStr">
        <is>
          <t>Pan Dulce</t>
        </is>
      </c>
      <c r="F90" s="32" t="inlineStr">
        <is>
          <t>Pasitas</t>
        </is>
      </c>
      <c r="G90" s="31" t="n">
        <v>30</v>
      </c>
      <c r="H90" s="33" t="n"/>
      <c r="I90" s="33">
        <f>IF(H90&gt;0, H90*G90, "")</f>
        <v/>
      </c>
      <c r="J90" s="33" t="n"/>
      <c r="K90" s="33" t="n">
        <v>0</v>
      </c>
      <c r="L90" s="34">
        <f>IF(I90&gt;0, MAX(0, I90-J90-K90), 0)</f>
        <v/>
      </c>
      <c r="M90" s="35" t="n">
        <v>0.75</v>
      </c>
      <c r="N90" s="36">
        <f>L90*M90</f>
        <v/>
      </c>
    </row>
    <row r="91" ht="19" customHeight="1">
      <c r="A91" s="31" t="inlineStr">
        <is>
          <t>05/09/2026</t>
        </is>
      </c>
      <c r="B91" s="31" t="inlineStr">
        <is>
          <t>Sábado</t>
        </is>
      </c>
      <c r="C91" s="31" t="inlineStr">
        <is>
          <t>Sucursal Central</t>
        </is>
      </c>
      <c r="D91" s="31" t="n">
        <v>70</v>
      </c>
      <c r="E91" s="31" t="inlineStr">
        <is>
          <t>Reposteria</t>
        </is>
      </c>
      <c r="F91" s="32" t="inlineStr">
        <is>
          <t>Cortada de Fresa</t>
        </is>
      </c>
      <c r="G91" s="31" t="n">
        <v>14</v>
      </c>
      <c r="H91" s="33" t="n"/>
      <c r="I91" s="33">
        <f>IF(H91&gt;0, H91*G91, "")</f>
        <v/>
      </c>
      <c r="J91" s="33" t="n"/>
      <c r="K91" s="33" t="n">
        <v>0</v>
      </c>
      <c r="L91" s="34">
        <f>IF(I91&gt;0, MAX(0, I91-J91-K91), 0)</f>
        <v/>
      </c>
      <c r="M91" s="35" t="n">
        <v>2.5</v>
      </c>
      <c r="N91" s="36">
        <f>L91*M91</f>
        <v/>
      </c>
    </row>
    <row r="92" ht="19" customHeight="1">
      <c r="A92" s="31" t="inlineStr">
        <is>
          <t>05/09/2026</t>
        </is>
      </c>
      <c r="B92" s="31" t="inlineStr">
        <is>
          <t>Sábado</t>
        </is>
      </c>
      <c r="C92" s="31" t="inlineStr">
        <is>
          <t>Sucursal Central</t>
        </is>
      </c>
      <c r="D92" s="31" t="n">
        <v>71</v>
      </c>
      <c r="E92" s="31" t="inlineStr">
        <is>
          <t>Reposteria</t>
        </is>
      </c>
      <c r="F92" s="32" t="inlineStr">
        <is>
          <t>Cortada de Chocolate</t>
        </is>
      </c>
      <c r="G92" s="31" t="n">
        <v>14</v>
      </c>
      <c r="H92" s="33" t="n"/>
      <c r="I92" s="33">
        <f>IF(H92&gt;0, H92*G92, "")</f>
        <v/>
      </c>
      <c r="J92" s="33" t="n"/>
      <c r="K92" s="33" t="n">
        <v>0</v>
      </c>
      <c r="L92" s="34">
        <f>IF(I92&gt;0, MAX(0, I92-J92-K92), 0)</f>
        <v/>
      </c>
      <c r="M92" s="35" t="n">
        <v>2.5</v>
      </c>
      <c r="N92" s="36">
        <f>L92*M92</f>
        <v/>
      </c>
    </row>
    <row r="93" ht="19" customHeight="1">
      <c r="A93" s="43" t="inlineStr">
        <is>
          <t>06/09/2026</t>
        </is>
      </c>
      <c r="B93" s="43" t="inlineStr">
        <is>
          <t>Domingo</t>
        </is>
      </c>
      <c r="C93" s="43" t="inlineStr">
        <is>
          <t>Sucursal Central</t>
        </is>
      </c>
      <c r="D93" s="43" t="n">
        <v>54</v>
      </c>
      <c r="E93" s="43" t="inlineStr">
        <is>
          <t>Pan</t>
        </is>
      </c>
      <c r="F93" s="44" t="inlineStr">
        <is>
          <t>Pan Francés Tradicional</t>
        </is>
      </c>
      <c r="G93" s="43" t="n">
        <v>36</v>
      </c>
      <c r="H93" s="45" t="n"/>
      <c r="I93" s="45">
        <f>IF(H93&gt;0, H93*G93, "")</f>
        <v/>
      </c>
      <c r="J93" s="45" t="n"/>
      <c r="K93" s="45" t="n">
        <v>0</v>
      </c>
      <c r="L93" s="25">
        <f>IF(I93&gt;0, MAX(0, I93-J93-K93), 0)</f>
        <v/>
      </c>
      <c r="M93" s="46" t="n">
        <v>0.5</v>
      </c>
      <c r="N93" s="17">
        <f>L93*M93</f>
        <v/>
      </c>
    </row>
    <row r="94" ht="19" customHeight="1">
      <c r="A94" s="43" t="inlineStr">
        <is>
          <t>06/09/2026</t>
        </is>
      </c>
      <c r="B94" s="43" t="inlineStr">
        <is>
          <t>Domingo</t>
        </is>
      </c>
      <c r="C94" s="43" t="inlineStr">
        <is>
          <t>Sucursal Central</t>
        </is>
      </c>
      <c r="D94" s="43" t="n">
        <v>55</v>
      </c>
      <c r="E94" s="43" t="inlineStr">
        <is>
          <t>Pan Dulce</t>
        </is>
      </c>
      <c r="F94" s="44" t="inlineStr">
        <is>
          <t>Pan Dulce Pequeño</t>
        </is>
      </c>
      <c r="G94" s="43" t="n">
        <v>40</v>
      </c>
      <c r="H94" s="45" t="n"/>
      <c r="I94" s="45">
        <f>IF(H94&gt;0, H94*G94, "")</f>
        <v/>
      </c>
      <c r="J94" s="45" t="n"/>
      <c r="K94" s="45" t="n">
        <v>0</v>
      </c>
      <c r="L94" s="25">
        <f>IF(I94&gt;0, MAX(0, I94-J94-K94), 0)</f>
        <v/>
      </c>
      <c r="M94" s="46" t="n">
        <v>0.5</v>
      </c>
      <c r="N94" s="17">
        <f>L94*M94</f>
        <v/>
      </c>
    </row>
    <row r="95" ht="19" customHeight="1">
      <c r="A95" s="43" t="inlineStr">
        <is>
          <t>06/09/2026</t>
        </is>
      </c>
      <c r="B95" s="43" t="inlineStr">
        <is>
          <t>Domingo</t>
        </is>
      </c>
      <c r="C95" s="43" t="inlineStr">
        <is>
          <t>Sucursal Central</t>
        </is>
      </c>
      <c r="D95" s="43" t="n">
        <v>56</v>
      </c>
      <c r="E95" s="43" t="inlineStr">
        <is>
          <t>Pan Dulce</t>
        </is>
      </c>
      <c r="F95" s="44" t="inlineStr">
        <is>
          <t>Pan Dulce Grande</t>
        </is>
      </c>
      <c r="G95" s="43" t="n">
        <v>20</v>
      </c>
      <c r="H95" s="45" t="n"/>
      <c r="I95" s="45">
        <f>IF(H95&gt;0, H95*G95, "")</f>
        <v/>
      </c>
      <c r="J95" s="45" t="n"/>
      <c r="K95" s="45" t="n">
        <v>0</v>
      </c>
      <c r="L95" s="25">
        <f>IF(I95&gt;0, MAX(0, I95-J95-K95), 0)</f>
        <v/>
      </c>
      <c r="M95" s="46" t="n">
        <v>1.25</v>
      </c>
      <c r="N95" s="17">
        <f>L95*M95</f>
        <v/>
      </c>
    </row>
    <row r="96" ht="19" customHeight="1">
      <c r="A96" s="43" t="inlineStr">
        <is>
          <t>06/09/2026</t>
        </is>
      </c>
      <c r="B96" s="43" t="inlineStr">
        <is>
          <t>Domingo</t>
        </is>
      </c>
      <c r="C96" s="43" t="inlineStr">
        <is>
          <t>Sucursal Central</t>
        </is>
      </c>
      <c r="D96" s="43" t="n">
        <v>57</v>
      </c>
      <c r="E96" s="43" t="inlineStr">
        <is>
          <t>Galletas</t>
        </is>
      </c>
      <c r="F96" s="44" t="inlineStr">
        <is>
          <t>Pan Galleta</t>
        </is>
      </c>
      <c r="G96" s="43" t="n">
        <v>20</v>
      </c>
      <c r="H96" s="45" t="n"/>
      <c r="I96" s="45">
        <f>IF(H96&gt;0, H96*G96, "")</f>
        <v/>
      </c>
      <c r="J96" s="45" t="n"/>
      <c r="K96" s="45" t="n">
        <v>0</v>
      </c>
      <c r="L96" s="25">
        <f>IF(I96&gt;0, MAX(0, I96-J96-K96), 0)</f>
        <v/>
      </c>
      <c r="M96" s="46" t="n">
        <v>1.25</v>
      </c>
      <c r="N96" s="17">
        <f>L96*M96</f>
        <v/>
      </c>
    </row>
    <row r="97" ht="19" customHeight="1">
      <c r="A97" s="43" t="inlineStr">
        <is>
          <t>06/09/2026</t>
        </is>
      </c>
      <c r="B97" s="43" t="inlineStr">
        <is>
          <t>Domingo</t>
        </is>
      </c>
      <c r="C97" s="43" t="inlineStr">
        <is>
          <t>Sucursal Central</t>
        </is>
      </c>
      <c r="D97" s="43" t="n">
        <v>58</v>
      </c>
      <c r="E97" s="43" t="inlineStr">
        <is>
          <t>Galletas</t>
        </is>
      </c>
      <c r="F97" s="44" t="inlineStr">
        <is>
          <t>Champurrada Pequeña</t>
        </is>
      </c>
      <c r="G97" s="43" t="n">
        <v>24</v>
      </c>
      <c r="H97" s="45" t="n"/>
      <c r="I97" s="45">
        <f>IF(H97&gt;0, H97*G97, "")</f>
        <v/>
      </c>
      <c r="J97" s="45" t="n"/>
      <c r="K97" s="45" t="n">
        <v>0</v>
      </c>
      <c r="L97" s="25">
        <f>IF(I97&gt;0, MAX(0, I97-J97-K97), 0)</f>
        <v/>
      </c>
      <c r="M97" s="46" t="n">
        <v>0.5</v>
      </c>
      <c r="N97" s="17">
        <f>L97*M97</f>
        <v/>
      </c>
    </row>
    <row r="98" ht="19" customHeight="1">
      <c r="A98" s="43" t="inlineStr">
        <is>
          <t>06/09/2026</t>
        </is>
      </c>
      <c r="B98" s="43" t="inlineStr">
        <is>
          <t>Domingo</t>
        </is>
      </c>
      <c r="C98" s="43" t="inlineStr">
        <is>
          <t>Sucursal Central</t>
        </is>
      </c>
      <c r="D98" s="43" t="n">
        <v>59</v>
      </c>
      <c r="E98" s="43" t="inlineStr">
        <is>
          <t>Galletas</t>
        </is>
      </c>
      <c r="F98" s="44" t="inlineStr">
        <is>
          <t>Champurrada Grande</t>
        </is>
      </c>
      <c r="G98" s="43" t="n">
        <v>15</v>
      </c>
      <c r="H98" s="45" t="n"/>
      <c r="I98" s="45">
        <f>IF(H98&gt;0, H98*G98, "")</f>
        <v/>
      </c>
      <c r="J98" s="45" t="n"/>
      <c r="K98" s="45" t="n">
        <v>0</v>
      </c>
      <c r="L98" s="25">
        <f>IF(I98&gt;0, MAX(0, I98-J98-K98), 0)</f>
        <v/>
      </c>
      <c r="M98" s="46" t="n">
        <v>1.25</v>
      </c>
      <c r="N98" s="17">
        <f>L98*M98</f>
        <v/>
      </c>
    </row>
    <row r="99" ht="19" customHeight="1">
      <c r="A99" s="43" t="inlineStr">
        <is>
          <t>06/09/2026</t>
        </is>
      </c>
      <c r="B99" s="43" t="inlineStr">
        <is>
          <t>Domingo</t>
        </is>
      </c>
      <c r="C99" s="43" t="inlineStr">
        <is>
          <t>Sucursal Central</t>
        </is>
      </c>
      <c r="D99" s="43" t="n">
        <v>60</v>
      </c>
      <c r="E99" s="43" t="inlineStr">
        <is>
          <t>Reposteria</t>
        </is>
      </c>
      <c r="F99" s="44" t="inlineStr">
        <is>
          <t>Cubilete de Vainilla</t>
        </is>
      </c>
      <c r="G99" s="43" t="n">
        <v>30</v>
      </c>
      <c r="H99" s="45" t="n"/>
      <c r="I99" s="45">
        <f>IF(H99&gt;0, H99*G99, "")</f>
        <v/>
      </c>
      <c r="J99" s="45" t="n"/>
      <c r="K99" s="45" t="n">
        <v>0</v>
      </c>
      <c r="L99" s="25">
        <f>IF(I99&gt;0, MAX(0, I99-J99-K99), 0)</f>
        <v/>
      </c>
      <c r="M99" s="46" t="n">
        <v>2</v>
      </c>
      <c r="N99" s="17">
        <f>L99*M99</f>
        <v/>
      </c>
    </row>
    <row r="100" ht="19" customHeight="1">
      <c r="A100" s="43" t="inlineStr">
        <is>
          <t>06/09/2026</t>
        </is>
      </c>
      <c r="B100" s="43" t="inlineStr">
        <is>
          <t>Domingo</t>
        </is>
      </c>
      <c r="C100" s="43" t="inlineStr">
        <is>
          <t>Sucursal Central</t>
        </is>
      </c>
      <c r="D100" s="43" t="n">
        <v>61</v>
      </c>
      <c r="E100" s="43" t="inlineStr">
        <is>
          <t>Reposteria</t>
        </is>
      </c>
      <c r="F100" s="44" t="inlineStr">
        <is>
          <t>Cubilete de Banano</t>
        </is>
      </c>
      <c r="G100" s="43" t="n">
        <v>30</v>
      </c>
      <c r="H100" s="45" t="n"/>
      <c r="I100" s="45">
        <f>IF(H100&gt;0, H100*G100, "")</f>
        <v/>
      </c>
      <c r="J100" s="45" t="n"/>
      <c r="K100" s="45" t="n">
        <v>0</v>
      </c>
      <c r="L100" s="25">
        <f>IF(I100&gt;0, MAX(0, I100-J100-K100), 0)</f>
        <v/>
      </c>
      <c r="M100" s="46" t="n">
        <v>2</v>
      </c>
      <c r="N100" s="17">
        <f>L100*M100</f>
        <v/>
      </c>
    </row>
    <row r="101" ht="19" customHeight="1">
      <c r="A101" s="43" t="inlineStr">
        <is>
          <t>06/09/2026</t>
        </is>
      </c>
      <c r="B101" s="43" t="inlineStr">
        <is>
          <t>Domingo</t>
        </is>
      </c>
      <c r="C101" s="43" t="inlineStr">
        <is>
          <t>Sucursal Central</t>
        </is>
      </c>
      <c r="D101" s="43" t="n">
        <v>62</v>
      </c>
      <c r="E101" s="43" t="inlineStr">
        <is>
          <t>Reposteria</t>
        </is>
      </c>
      <c r="F101" s="44" t="inlineStr">
        <is>
          <t>Empanada de Piña</t>
        </is>
      </c>
      <c r="G101" s="43" t="n">
        <v>16</v>
      </c>
      <c r="H101" s="45" t="n"/>
      <c r="I101" s="45">
        <f>IF(H101&gt;0, H101*G101, "")</f>
        <v/>
      </c>
      <c r="J101" s="45" t="n"/>
      <c r="K101" s="45" t="n">
        <v>0</v>
      </c>
      <c r="L101" s="25">
        <f>IF(I101&gt;0, MAX(0, I101-J101-K101), 0)</f>
        <v/>
      </c>
      <c r="M101" s="46" t="n">
        <v>2.5</v>
      </c>
      <c r="N101" s="17">
        <f>L101*M101</f>
        <v/>
      </c>
    </row>
    <row r="102" ht="19" customHeight="1">
      <c r="A102" s="43" t="inlineStr">
        <is>
          <t>06/09/2026</t>
        </is>
      </c>
      <c r="B102" s="43" t="inlineStr">
        <is>
          <t>Domingo</t>
        </is>
      </c>
      <c r="C102" s="43" t="inlineStr">
        <is>
          <t>Sucursal Central</t>
        </is>
      </c>
      <c r="D102" s="43" t="n">
        <v>63</v>
      </c>
      <c r="E102" s="43" t="inlineStr">
        <is>
          <t>Reposteria</t>
        </is>
      </c>
      <c r="F102" s="44" t="inlineStr">
        <is>
          <t>Empanada de Manjar</t>
        </is>
      </c>
      <c r="G102" s="43" t="n">
        <v>16</v>
      </c>
      <c r="H102" s="45" t="n"/>
      <c r="I102" s="45">
        <f>IF(H102&gt;0, H102*G102, "")</f>
        <v/>
      </c>
      <c r="J102" s="45" t="n"/>
      <c r="K102" s="45" t="n">
        <v>0</v>
      </c>
      <c r="L102" s="25">
        <f>IF(I102&gt;0, MAX(0, I102-J102-K102), 0)</f>
        <v/>
      </c>
      <c r="M102" s="46" t="n">
        <v>2.5</v>
      </c>
      <c r="N102" s="17">
        <f>L102*M102</f>
        <v/>
      </c>
    </row>
    <row r="103" ht="19" customHeight="1">
      <c r="A103" s="43" t="inlineStr">
        <is>
          <t>06/09/2026</t>
        </is>
      </c>
      <c r="B103" s="43" t="inlineStr">
        <is>
          <t>Domingo</t>
        </is>
      </c>
      <c r="C103" s="43" t="inlineStr">
        <is>
          <t>Sucursal Central</t>
        </is>
      </c>
      <c r="D103" s="43" t="n">
        <v>64</v>
      </c>
      <c r="E103" s="43" t="inlineStr">
        <is>
          <t>Galletas</t>
        </is>
      </c>
      <c r="F103" s="44" t="inlineStr">
        <is>
          <t>Polvorosa Tradicional</t>
        </is>
      </c>
      <c r="G103" s="43" t="n">
        <v>15</v>
      </c>
      <c r="H103" s="45" t="n"/>
      <c r="I103" s="45">
        <f>IF(H103&gt;0, H103*G103, "")</f>
        <v/>
      </c>
      <c r="J103" s="45" t="n"/>
      <c r="K103" s="45" t="n">
        <v>0</v>
      </c>
      <c r="L103" s="25">
        <f>IF(I103&gt;0, MAX(0, I103-J103-K103), 0)</f>
        <v/>
      </c>
      <c r="M103" s="46" t="n">
        <v>1.25</v>
      </c>
      <c r="N103" s="17">
        <f>L103*M103</f>
        <v/>
      </c>
    </row>
    <row r="104" ht="19" customHeight="1">
      <c r="A104" s="43" t="inlineStr">
        <is>
          <t>06/09/2026</t>
        </is>
      </c>
      <c r="B104" s="43" t="inlineStr">
        <is>
          <t>Domingo</t>
        </is>
      </c>
      <c r="C104" s="43" t="inlineStr">
        <is>
          <t>Sucursal Central</t>
        </is>
      </c>
      <c r="D104" s="43" t="n">
        <v>65</v>
      </c>
      <c r="E104" s="43" t="inlineStr">
        <is>
          <t>Donas</t>
        </is>
      </c>
      <c r="F104" s="44" t="inlineStr">
        <is>
          <t>Dona Simple Glaseada</t>
        </is>
      </c>
      <c r="G104" s="43" t="n">
        <v>24</v>
      </c>
      <c r="H104" s="45" t="n"/>
      <c r="I104" s="45">
        <f>IF(H104&gt;0, H104*G104, "")</f>
        <v/>
      </c>
      <c r="J104" s="45" t="n"/>
      <c r="K104" s="45" t="n">
        <v>0</v>
      </c>
      <c r="L104" s="25">
        <f>IF(I104&gt;0, MAX(0, I104-J104-K104), 0)</f>
        <v/>
      </c>
      <c r="M104" s="46" t="n">
        <v>2.5</v>
      </c>
      <c r="N104" s="17">
        <f>L104*M104</f>
        <v/>
      </c>
    </row>
    <row r="105" ht="19" customHeight="1">
      <c r="A105" s="43" t="inlineStr">
        <is>
          <t>06/09/2026</t>
        </is>
      </c>
      <c r="B105" s="43" t="inlineStr">
        <is>
          <t>Domingo</t>
        </is>
      </c>
      <c r="C105" s="43" t="inlineStr">
        <is>
          <t>Sucursal Central</t>
        </is>
      </c>
      <c r="D105" s="43" t="n">
        <v>66</v>
      </c>
      <c r="E105" s="43" t="inlineStr">
        <is>
          <t>Donas</t>
        </is>
      </c>
      <c r="F105" s="44" t="inlineStr">
        <is>
          <t>Dona Rellena de Manjar</t>
        </is>
      </c>
      <c r="G105" s="43" t="n">
        <v>24</v>
      </c>
      <c r="H105" s="45" t="n"/>
      <c r="I105" s="45">
        <f>IF(H105&gt;0, H105*G105, "")</f>
        <v/>
      </c>
      <c r="J105" s="45" t="n"/>
      <c r="K105" s="45" t="n">
        <v>0</v>
      </c>
      <c r="L105" s="25">
        <f>IF(I105&gt;0, MAX(0, I105-J105-K105), 0)</f>
        <v/>
      </c>
      <c r="M105" s="46" t="n">
        <v>4</v>
      </c>
      <c r="N105" s="17">
        <f>L105*M105</f>
        <v/>
      </c>
    </row>
    <row r="106" ht="19" customHeight="1">
      <c r="A106" s="43" t="inlineStr">
        <is>
          <t>06/09/2026</t>
        </is>
      </c>
      <c r="B106" s="43" t="inlineStr">
        <is>
          <t>Domingo</t>
        </is>
      </c>
      <c r="C106" s="43" t="inlineStr">
        <is>
          <t>Sucursal Central</t>
        </is>
      </c>
      <c r="D106" s="43" t="n">
        <v>67</v>
      </c>
      <c r="E106" s="43" t="inlineStr">
        <is>
          <t>Donas</t>
        </is>
      </c>
      <c r="F106" s="44" t="inlineStr">
        <is>
          <t>Dona Rellena de Fresa</t>
        </is>
      </c>
      <c r="G106" s="43" t="n">
        <v>24</v>
      </c>
      <c r="H106" s="45" t="n"/>
      <c r="I106" s="45">
        <f>IF(H106&gt;0, H106*G106, "")</f>
        <v/>
      </c>
      <c r="J106" s="45" t="n"/>
      <c r="K106" s="45" t="n">
        <v>0</v>
      </c>
      <c r="L106" s="25">
        <f>IF(I106&gt;0, MAX(0, I106-J106-K106), 0)</f>
        <v/>
      </c>
      <c r="M106" s="46" t="n">
        <v>4</v>
      </c>
      <c r="N106" s="17">
        <f>L106*M106</f>
        <v/>
      </c>
    </row>
    <row r="107" ht="19" customHeight="1">
      <c r="A107" s="43" t="inlineStr">
        <is>
          <t>06/09/2026</t>
        </is>
      </c>
      <c r="B107" s="43" t="inlineStr">
        <is>
          <t>Domingo</t>
        </is>
      </c>
      <c r="C107" s="43" t="inlineStr">
        <is>
          <t>Sucursal Central</t>
        </is>
      </c>
      <c r="D107" s="43" t="n">
        <v>68</v>
      </c>
      <c r="E107" s="43" t="inlineStr">
        <is>
          <t>Pan Dulce</t>
        </is>
      </c>
      <c r="F107" s="44" t="inlineStr">
        <is>
          <t>Campechana</t>
        </is>
      </c>
      <c r="G107" s="43" t="n">
        <v>20</v>
      </c>
      <c r="H107" s="45" t="n"/>
      <c r="I107" s="45">
        <f>IF(H107&gt;0, H107*G107, "")</f>
        <v/>
      </c>
      <c r="J107" s="45" t="n"/>
      <c r="K107" s="45" t="n">
        <v>0</v>
      </c>
      <c r="L107" s="25">
        <f>IF(I107&gt;0, MAX(0, I107-J107-K107), 0)</f>
        <v/>
      </c>
      <c r="M107" s="46" t="n">
        <v>1.25</v>
      </c>
      <c r="N107" s="17">
        <f>L107*M107</f>
        <v/>
      </c>
    </row>
    <row r="108" ht="19" customHeight="1">
      <c r="A108" s="43" t="inlineStr">
        <is>
          <t>06/09/2026</t>
        </is>
      </c>
      <c r="B108" s="43" t="inlineStr">
        <is>
          <t>Domingo</t>
        </is>
      </c>
      <c r="C108" s="43" t="inlineStr">
        <is>
          <t>Sucursal Central</t>
        </is>
      </c>
      <c r="D108" s="43" t="n">
        <v>69</v>
      </c>
      <c r="E108" s="43" t="inlineStr">
        <is>
          <t>Pan Dulce</t>
        </is>
      </c>
      <c r="F108" s="44" t="inlineStr">
        <is>
          <t>Pasitas</t>
        </is>
      </c>
      <c r="G108" s="43" t="n">
        <v>30</v>
      </c>
      <c r="H108" s="45" t="n"/>
      <c r="I108" s="45">
        <f>IF(H108&gt;0, H108*G108, "")</f>
        <v/>
      </c>
      <c r="J108" s="45" t="n"/>
      <c r="K108" s="45" t="n">
        <v>0</v>
      </c>
      <c r="L108" s="25">
        <f>IF(I108&gt;0, MAX(0, I108-J108-K108), 0)</f>
        <v/>
      </c>
      <c r="M108" s="46" t="n">
        <v>0.75</v>
      </c>
      <c r="N108" s="17">
        <f>L108*M108</f>
        <v/>
      </c>
    </row>
    <row r="109" ht="19" customHeight="1">
      <c r="A109" s="43" t="inlineStr">
        <is>
          <t>06/09/2026</t>
        </is>
      </c>
      <c r="B109" s="43" t="inlineStr">
        <is>
          <t>Domingo</t>
        </is>
      </c>
      <c r="C109" s="43" t="inlineStr">
        <is>
          <t>Sucursal Central</t>
        </is>
      </c>
      <c r="D109" s="43" t="n">
        <v>70</v>
      </c>
      <c r="E109" s="43" t="inlineStr">
        <is>
          <t>Reposteria</t>
        </is>
      </c>
      <c r="F109" s="44" t="inlineStr">
        <is>
          <t>Cortada de Fresa</t>
        </is>
      </c>
      <c r="G109" s="43" t="n">
        <v>14</v>
      </c>
      <c r="H109" s="45" t="n"/>
      <c r="I109" s="45">
        <f>IF(H109&gt;0, H109*G109, "")</f>
        <v/>
      </c>
      <c r="J109" s="45" t="n"/>
      <c r="K109" s="45" t="n">
        <v>0</v>
      </c>
      <c r="L109" s="25">
        <f>IF(I109&gt;0, MAX(0, I109-J109-K109), 0)</f>
        <v/>
      </c>
      <c r="M109" s="46" t="n">
        <v>2.5</v>
      </c>
      <c r="N109" s="17">
        <f>L109*M109</f>
        <v/>
      </c>
    </row>
    <row r="110" ht="19" customHeight="1">
      <c r="A110" s="43" t="inlineStr">
        <is>
          <t>06/09/2026</t>
        </is>
      </c>
      <c r="B110" s="43" t="inlineStr">
        <is>
          <t>Domingo</t>
        </is>
      </c>
      <c r="C110" s="43" t="inlineStr">
        <is>
          <t>Sucursal Central</t>
        </is>
      </c>
      <c r="D110" s="43" t="n">
        <v>71</v>
      </c>
      <c r="E110" s="43" t="inlineStr">
        <is>
          <t>Reposteria</t>
        </is>
      </c>
      <c r="F110" s="44" t="inlineStr">
        <is>
          <t>Cortada de Chocolate</t>
        </is>
      </c>
      <c r="G110" s="43" t="n">
        <v>14</v>
      </c>
      <c r="H110" s="45" t="n"/>
      <c r="I110" s="45">
        <f>IF(H110&gt;0, H110*G110, "")</f>
        <v/>
      </c>
      <c r="J110" s="45" t="n"/>
      <c r="K110" s="45" t="n">
        <v>0</v>
      </c>
      <c r="L110" s="25">
        <f>IF(I110&gt;0, MAX(0, I110-J110-K110), 0)</f>
        <v/>
      </c>
      <c r="M110" s="46" t="n">
        <v>2.5</v>
      </c>
      <c r="N110" s="17">
        <f>L110*M110</f>
        <v/>
      </c>
    </row>
    <row r="111" ht="19" customHeight="1">
      <c r="A111" s="31" t="inlineStr">
        <is>
          <t>07/09/2026</t>
        </is>
      </c>
      <c r="B111" s="31" t="inlineStr">
        <is>
          <t>Lunes</t>
        </is>
      </c>
      <c r="C111" s="31" t="inlineStr">
        <is>
          <t>Sucursal Central</t>
        </is>
      </c>
      <c r="D111" s="31" t="n">
        <v>54</v>
      </c>
      <c r="E111" s="31" t="inlineStr">
        <is>
          <t>Pan</t>
        </is>
      </c>
      <c r="F111" s="32" t="inlineStr">
        <is>
          <t>Pan Francés Tradicional</t>
        </is>
      </c>
      <c r="G111" s="31" t="n">
        <v>36</v>
      </c>
      <c r="H111" s="33" t="n"/>
      <c r="I111" s="33">
        <f>IF(H111&gt;0, H111*G111, "")</f>
        <v/>
      </c>
      <c r="J111" s="33" t="n"/>
      <c r="K111" s="33" t="n">
        <v>0</v>
      </c>
      <c r="L111" s="34">
        <f>IF(I111&gt;0, MAX(0, I111-J111-K111), 0)</f>
        <v/>
      </c>
      <c r="M111" s="35" t="n">
        <v>0.5</v>
      </c>
      <c r="N111" s="36">
        <f>L111*M111</f>
        <v/>
      </c>
    </row>
    <row r="112" ht="19" customHeight="1">
      <c r="A112" s="31" t="inlineStr">
        <is>
          <t>07/09/2026</t>
        </is>
      </c>
      <c r="B112" s="31" t="inlineStr">
        <is>
          <t>Lunes</t>
        </is>
      </c>
      <c r="C112" s="31" t="inlineStr">
        <is>
          <t>Sucursal Central</t>
        </is>
      </c>
      <c r="D112" s="31" t="n">
        <v>55</v>
      </c>
      <c r="E112" s="31" t="inlineStr">
        <is>
          <t>Pan Dulce</t>
        </is>
      </c>
      <c r="F112" s="32" t="inlineStr">
        <is>
          <t>Pan Dulce Pequeño</t>
        </is>
      </c>
      <c r="G112" s="31" t="n">
        <v>40</v>
      </c>
      <c r="H112" s="33" t="n"/>
      <c r="I112" s="33">
        <f>IF(H112&gt;0, H112*G112, "")</f>
        <v/>
      </c>
      <c r="J112" s="33" t="n"/>
      <c r="K112" s="33" t="n">
        <v>0</v>
      </c>
      <c r="L112" s="34">
        <f>IF(I112&gt;0, MAX(0, I112-J112-K112), 0)</f>
        <v/>
      </c>
      <c r="M112" s="35" t="n">
        <v>0.5</v>
      </c>
      <c r="N112" s="36">
        <f>L112*M112</f>
        <v/>
      </c>
    </row>
    <row r="113" ht="19" customHeight="1">
      <c r="A113" s="31" t="inlineStr">
        <is>
          <t>07/09/2026</t>
        </is>
      </c>
      <c r="B113" s="31" t="inlineStr">
        <is>
          <t>Lunes</t>
        </is>
      </c>
      <c r="C113" s="31" t="inlineStr">
        <is>
          <t>Sucursal Central</t>
        </is>
      </c>
      <c r="D113" s="31" t="n">
        <v>56</v>
      </c>
      <c r="E113" s="31" t="inlineStr">
        <is>
          <t>Pan Dulce</t>
        </is>
      </c>
      <c r="F113" s="32" t="inlineStr">
        <is>
          <t>Pan Dulce Grande</t>
        </is>
      </c>
      <c r="G113" s="31" t="n">
        <v>20</v>
      </c>
      <c r="H113" s="33" t="n"/>
      <c r="I113" s="33">
        <f>IF(H113&gt;0, H113*G113, "")</f>
        <v/>
      </c>
      <c r="J113" s="33" t="n"/>
      <c r="K113" s="33" t="n">
        <v>0</v>
      </c>
      <c r="L113" s="34">
        <f>IF(I113&gt;0, MAX(0, I113-J113-K113), 0)</f>
        <v/>
      </c>
      <c r="M113" s="35" t="n">
        <v>1.25</v>
      </c>
      <c r="N113" s="36">
        <f>L113*M113</f>
        <v/>
      </c>
    </row>
    <row r="114" ht="19" customHeight="1">
      <c r="A114" s="31" t="inlineStr">
        <is>
          <t>07/09/2026</t>
        </is>
      </c>
      <c r="B114" s="31" t="inlineStr">
        <is>
          <t>Lunes</t>
        </is>
      </c>
      <c r="C114" s="31" t="inlineStr">
        <is>
          <t>Sucursal Central</t>
        </is>
      </c>
      <c r="D114" s="31" t="n">
        <v>57</v>
      </c>
      <c r="E114" s="31" t="inlineStr">
        <is>
          <t>Galletas</t>
        </is>
      </c>
      <c r="F114" s="32" t="inlineStr">
        <is>
          <t>Pan Galleta</t>
        </is>
      </c>
      <c r="G114" s="31" t="n">
        <v>20</v>
      </c>
      <c r="H114" s="33" t="n"/>
      <c r="I114" s="33">
        <f>IF(H114&gt;0, H114*G114, "")</f>
        <v/>
      </c>
      <c r="J114" s="33" t="n"/>
      <c r="K114" s="33" t="n">
        <v>0</v>
      </c>
      <c r="L114" s="34">
        <f>IF(I114&gt;0, MAX(0, I114-J114-K114), 0)</f>
        <v/>
      </c>
      <c r="M114" s="35" t="n">
        <v>1.25</v>
      </c>
      <c r="N114" s="36">
        <f>L114*M114</f>
        <v/>
      </c>
    </row>
    <row r="115" ht="19" customHeight="1">
      <c r="A115" s="31" t="inlineStr">
        <is>
          <t>07/09/2026</t>
        </is>
      </c>
      <c r="B115" s="31" t="inlineStr">
        <is>
          <t>Lunes</t>
        </is>
      </c>
      <c r="C115" s="31" t="inlineStr">
        <is>
          <t>Sucursal Central</t>
        </is>
      </c>
      <c r="D115" s="31" t="n">
        <v>58</v>
      </c>
      <c r="E115" s="31" t="inlineStr">
        <is>
          <t>Galletas</t>
        </is>
      </c>
      <c r="F115" s="32" t="inlineStr">
        <is>
          <t>Champurrada Pequeña</t>
        </is>
      </c>
      <c r="G115" s="31" t="n">
        <v>24</v>
      </c>
      <c r="H115" s="33" t="n"/>
      <c r="I115" s="33">
        <f>IF(H115&gt;0, H115*G115, "")</f>
        <v/>
      </c>
      <c r="J115" s="33" t="n"/>
      <c r="K115" s="33" t="n">
        <v>0</v>
      </c>
      <c r="L115" s="34">
        <f>IF(I115&gt;0, MAX(0, I115-J115-K115), 0)</f>
        <v/>
      </c>
      <c r="M115" s="35" t="n">
        <v>0.5</v>
      </c>
      <c r="N115" s="36">
        <f>L115*M115</f>
        <v/>
      </c>
    </row>
    <row r="116" ht="19" customHeight="1">
      <c r="A116" s="31" t="inlineStr">
        <is>
          <t>07/09/2026</t>
        </is>
      </c>
      <c r="B116" s="31" t="inlineStr">
        <is>
          <t>Lunes</t>
        </is>
      </c>
      <c r="C116" s="31" t="inlineStr">
        <is>
          <t>Sucursal Central</t>
        </is>
      </c>
      <c r="D116" s="31" t="n">
        <v>59</v>
      </c>
      <c r="E116" s="31" t="inlineStr">
        <is>
          <t>Galletas</t>
        </is>
      </c>
      <c r="F116" s="32" t="inlineStr">
        <is>
          <t>Champurrada Grande</t>
        </is>
      </c>
      <c r="G116" s="31" t="n">
        <v>15</v>
      </c>
      <c r="H116" s="33" t="n"/>
      <c r="I116" s="33">
        <f>IF(H116&gt;0, H116*G116, "")</f>
        <v/>
      </c>
      <c r="J116" s="33" t="n"/>
      <c r="K116" s="33" t="n">
        <v>0</v>
      </c>
      <c r="L116" s="34">
        <f>IF(I116&gt;0, MAX(0, I116-J116-K116), 0)</f>
        <v/>
      </c>
      <c r="M116" s="35" t="n">
        <v>1.25</v>
      </c>
      <c r="N116" s="36">
        <f>L116*M116</f>
        <v/>
      </c>
    </row>
    <row r="117" ht="19" customHeight="1">
      <c r="A117" s="31" t="inlineStr">
        <is>
          <t>07/09/2026</t>
        </is>
      </c>
      <c r="B117" s="31" t="inlineStr">
        <is>
          <t>Lunes</t>
        </is>
      </c>
      <c r="C117" s="31" t="inlineStr">
        <is>
          <t>Sucursal Central</t>
        </is>
      </c>
      <c r="D117" s="31" t="n">
        <v>60</v>
      </c>
      <c r="E117" s="31" t="inlineStr">
        <is>
          <t>Reposteria</t>
        </is>
      </c>
      <c r="F117" s="32" t="inlineStr">
        <is>
          <t>Cubilete de Vainilla</t>
        </is>
      </c>
      <c r="G117" s="31" t="n">
        <v>30</v>
      </c>
      <c r="H117" s="33" t="n"/>
      <c r="I117" s="33">
        <f>IF(H117&gt;0, H117*G117, "")</f>
        <v/>
      </c>
      <c r="J117" s="33" t="n"/>
      <c r="K117" s="33" t="n">
        <v>0</v>
      </c>
      <c r="L117" s="34">
        <f>IF(I117&gt;0, MAX(0, I117-J117-K117), 0)</f>
        <v/>
      </c>
      <c r="M117" s="35" t="n">
        <v>2</v>
      </c>
      <c r="N117" s="36">
        <f>L117*M117</f>
        <v/>
      </c>
    </row>
    <row r="118" ht="19" customHeight="1">
      <c r="A118" s="31" t="inlineStr">
        <is>
          <t>07/09/2026</t>
        </is>
      </c>
      <c r="B118" s="31" t="inlineStr">
        <is>
          <t>Lunes</t>
        </is>
      </c>
      <c r="C118" s="31" t="inlineStr">
        <is>
          <t>Sucursal Central</t>
        </is>
      </c>
      <c r="D118" s="31" t="n">
        <v>61</v>
      </c>
      <c r="E118" s="31" t="inlineStr">
        <is>
          <t>Reposteria</t>
        </is>
      </c>
      <c r="F118" s="32" t="inlineStr">
        <is>
          <t>Cubilete de Banano</t>
        </is>
      </c>
      <c r="G118" s="31" t="n">
        <v>30</v>
      </c>
      <c r="H118" s="33" t="n"/>
      <c r="I118" s="33">
        <f>IF(H118&gt;0, H118*G118, "")</f>
        <v/>
      </c>
      <c r="J118" s="33" t="n"/>
      <c r="K118" s="33" t="n">
        <v>0</v>
      </c>
      <c r="L118" s="34">
        <f>IF(I118&gt;0, MAX(0, I118-J118-K118), 0)</f>
        <v/>
      </c>
      <c r="M118" s="35" t="n">
        <v>2</v>
      </c>
      <c r="N118" s="36">
        <f>L118*M118</f>
        <v/>
      </c>
    </row>
    <row r="119" ht="19" customHeight="1">
      <c r="A119" s="31" t="inlineStr">
        <is>
          <t>07/09/2026</t>
        </is>
      </c>
      <c r="B119" s="31" t="inlineStr">
        <is>
          <t>Lunes</t>
        </is>
      </c>
      <c r="C119" s="31" t="inlineStr">
        <is>
          <t>Sucursal Central</t>
        </is>
      </c>
      <c r="D119" s="31" t="n">
        <v>62</v>
      </c>
      <c r="E119" s="31" t="inlineStr">
        <is>
          <t>Reposteria</t>
        </is>
      </c>
      <c r="F119" s="32" t="inlineStr">
        <is>
          <t>Empanada de Piña</t>
        </is>
      </c>
      <c r="G119" s="31" t="n">
        <v>16</v>
      </c>
      <c r="H119" s="33" t="n"/>
      <c r="I119" s="33">
        <f>IF(H119&gt;0, H119*G119, "")</f>
        <v/>
      </c>
      <c r="J119" s="33" t="n"/>
      <c r="K119" s="33" t="n">
        <v>0</v>
      </c>
      <c r="L119" s="34">
        <f>IF(I119&gt;0, MAX(0, I119-J119-K119), 0)</f>
        <v/>
      </c>
      <c r="M119" s="35" t="n">
        <v>2.5</v>
      </c>
      <c r="N119" s="36">
        <f>L119*M119</f>
        <v/>
      </c>
    </row>
    <row r="120" ht="19" customHeight="1">
      <c r="A120" s="31" t="inlineStr">
        <is>
          <t>07/09/2026</t>
        </is>
      </c>
      <c r="B120" s="31" t="inlineStr">
        <is>
          <t>Lunes</t>
        </is>
      </c>
      <c r="C120" s="31" t="inlineStr">
        <is>
          <t>Sucursal Central</t>
        </is>
      </c>
      <c r="D120" s="31" t="n">
        <v>63</v>
      </c>
      <c r="E120" s="31" t="inlineStr">
        <is>
          <t>Reposteria</t>
        </is>
      </c>
      <c r="F120" s="32" t="inlineStr">
        <is>
          <t>Empanada de Manjar</t>
        </is>
      </c>
      <c r="G120" s="31" t="n">
        <v>16</v>
      </c>
      <c r="H120" s="33" t="n"/>
      <c r="I120" s="33">
        <f>IF(H120&gt;0, H120*G120, "")</f>
        <v/>
      </c>
      <c r="J120" s="33" t="n"/>
      <c r="K120" s="33" t="n">
        <v>0</v>
      </c>
      <c r="L120" s="34">
        <f>IF(I120&gt;0, MAX(0, I120-J120-K120), 0)</f>
        <v/>
      </c>
      <c r="M120" s="35" t="n">
        <v>2.5</v>
      </c>
      <c r="N120" s="36">
        <f>L120*M120</f>
        <v/>
      </c>
    </row>
    <row r="121" ht="19" customHeight="1">
      <c r="A121" s="31" t="inlineStr">
        <is>
          <t>07/09/2026</t>
        </is>
      </c>
      <c r="B121" s="31" t="inlineStr">
        <is>
          <t>Lunes</t>
        </is>
      </c>
      <c r="C121" s="31" t="inlineStr">
        <is>
          <t>Sucursal Central</t>
        </is>
      </c>
      <c r="D121" s="31" t="n">
        <v>64</v>
      </c>
      <c r="E121" s="31" t="inlineStr">
        <is>
          <t>Galletas</t>
        </is>
      </c>
      <c r="F121" s="32" t="inlineStr">
        <is>
          <t>Polvorosa Tradicional</t>
        </is>
      </c>
      <c r="G121" s="31" t="n">
        <v>15</v>
      </c>
      <c r="H121" s="33" t="n"/>
      <c r="I121" s="33">
        <f>IF(H121&gt;0, H121*G121, "")</f>
        <v/>
      </c>
      <c r="J121" s="33" t="n"/>
      <c r="K121" s="33" t="n">
        <v>0</v>
      </c>
      <c r="L121" s="34">
        <f>IF(I121&gt;0, MAX(0, I121-J121-K121), 0)</f>
        <v/>
      </c>
      <c r="M121" s="35" t="n">
        <v>1.25</v>
      </c>
      <c r="N121" s="36">
        <f>L121*M121</f>
        <v/>
      </c>
    </row>
    <row r="122" ht="19" customHeight="1">
      <c r="A122" s="31" t="inlineStr">
        <is>
          <t>07/09/2026</t>
        </is>
      </c>
      <c r="B122" s="31" t="inlineStr">
        <is>
          <t>Lunes</t>
        </is>
      </c>
      <c r="C122" s="31" t="inlineStr">
        <is>
          <t>Sucursal Central</t>
        </is>
      </c>
      <c r="D122" s="31" t="n">
        <v>65</v>
      </c>
      <c r="E122" s="31" t="inlineStr">
        <is>
          <t>Donas</t>
        </is>
      </c>
      <c r="F122" s="32" t="inlineStr">
        <is>
          <t>Dona Simple Glaseada</t>
        </is>
      </c>
      <c r="G122" s="31" t="n">
        <v>24</v>
      </c>
      <c r="H122" s="33" t="n"/>
      <c r="I122" s="33">
        <f>IF(H122&gt;0, H122*G122, "")</f>
        <v/>
      </c>
      <c r="J122" s="33" t="n"/>
      <c r="K122" s="33" t="n">
        <v>0</v>
      </c>
      <c r="L122" s="34">
        <f>IF(I122&gt;0, MAX(0, I122-J122-K122), 0)</f>
        <v/>
      </c>
      <c r="M122" s="35" t="n">
        <v>2.5</v>
      </c>
      <c r="N122" s="36">
        <f>L122*M122</f>
        <v/>
      </c>
    </row>
    <row r="123" ht="19" customHeight="1">
      <c r="A123" s="31" t="inlineStr">
        <is>
          <t>07/09/2026</t>
        </is>
      </c>
      <c r="B123" s="31" t="inlineStr">
        <is>
          <t>Lunes</t>
        </is>
      </c>
      <c r="C123" s="31" t="inlineStr">
        <is>
          <t>Sucursal Central</t>
        </is>
      </c>
      <c r="D123" s="31" t="n">
        <v>66</v>
      </c>
      <c r="E123" s="31" t="inlineStr">
        <is>
          <t>Donas</t>
        </is>
      </c>
      <c r="F123" s="32" t="inlineStr">
        <is>
          <t>Dona Rellena de Manjar</t>
        </is>
      </c>
      <c r="G123" s="31" t="n">
        <v>24</v>
      </c>
      <c r="H123" s="33" t="n"/>
      <c r="I123" s="33">
        <f>IF(H123&gt;0, H123*G123, "")</f>
        <v/>
      </c>
      <c r="J123" s="33" t="n"/>
      <c r="K123" s="33" t="n">
        <v>0</v>
      </c>
      <c r="L123" s="34">
        <f>IF(I123&gt;0, MAX(0, I123-J123-K123), 0)</f>
        <v/>
      </c>
      <c r="M123" s="35" t="n">
        <v>4</v>
      </c>
      <c r="N123" s="36">
        <f>L123*M123</f>
        <v/>
      </c>
    </row>
    <row r="124" ht="19" customHeight="1">
      <c r="A124" s="31" t="inlineStr">
        <is>
          <t>07/09/2026</t>
        </is>
      </c>
      <c r="B124" s="31" t="inlineStr">
        <is>
          <t>Lunes</t>
        </is>
      </c>
      <c r="C124" s="31" t="inlineStr">
        <is>
          <t>Sucursal Central</t>
        </is>
      </c>
      <c r="D124" s="31" t="n">
        <v>67</v>
      </c>
      <c r="E124" s="31" t="inlineStr">
        <is>
          <t>Donas</t>
        </is>
      </c>
      <c r="F124" s="32" t="inlineStr">
        <is>
          <t>Dona Rellena de Fresa</t>
        </is>
      </c>
      <c r="G124" s="31" t="n">
        <v>24</v>
      </c>
      <c r="H124" s="33" t="n"/>
      <c r="I124" s="33">
        <f>IF(H124&gt;0, H124*G124, "")</f>
        <v/>
      </c>
      <c r="J124" s="33" t="n"/>
      <c r="K124" s="33" t="n">
        <v>0</v>
      </c>
      <c r="L124" s="34">
        <f>IF(I124&gt;0, MAX(0, I124-J124-K124), 0)</f>
        <v/>
      </c>
      <c r="M124" s="35" t="n">
        <v>4</v>
      </c>
      <c r="N124" s="36">
        <f>L124*M124</f>
        <v/>
      </c>
    </row>
    <row r="125" ht="19" customHeight="1">
      <c r="A125" s="31" t="inlineStr">
        <is>
          <t>07/09/2026</t>
        </is>
      </c>
      <c r="B125" s="31" t="inlineStr">
        <is>
          <t>Lunes</t>
        </is>
      </c>
      <c r="C125" s="31" t="inlineStr">
        <is>
          <t>Sucursal Central</t>
        </is>
      </c>
      <c r="D125" s="31" t="n">
        <v>68</v>
      </c>
      <c r="E125" s="31" t="inlineStr">
        <is>
          <t>Pan Dulce</t>
        </is>
      </c>
      <c r="F125" s="32" t="inlineStr">
        <is>
          <t>Campechana</t>
        </is>
      </c>
      <c r="G125" s="31" t="n">
        <v>20</v>
      </c>
      <c r="H125" s="33" t="n"/>
      <c r="I125" s="33">
        <f>IF(H125&gt;0, H125*G125, "")</f>
        <v/>
      </c>
      <c r="J125" s="33" t="n"/>
      <c r="K125" s="33" t="n">
        <v>0</v>
      </c>
      <c r="L125" s="34">
        <f>IF(I125&gt;0, MAX(0, I125-J125-K125), 0)</f>
        <v/>
      </c>
      <c r="M125" s="35" t="n">
        <v>1.25</v>
      </c>
      <c r="N125" s="36">
        <f>L125*M125</f>
        <v/>
      </c>
    </row>
    <row r="126" ht="19" customHeight="1">
      <c r="A126" s="31" t="inlineStr">
        <is>
          <t>07/09/2026</t>
        </is>
      </c>
      <c r="B126" s="31" t="inlineStr">
        <is>
          <t>Lunes</t>
        </is>
      </c>
      <c r="C126" s="31" t="inlineStr">
        <is>
          <t>Sucursal Central</t>
        </is>
      </c>
      <c r="D126" s="31" t="n">
        <v>69</v>
      </c>
      <c r="E126" s="31" t="inlineStr">
        <is>
          <t>Pan Dulce</t>
        </is>
      </c>
      <c r="F126" s="32" t="inlineStr">
        <is>
          <t>Pasitas</t>
        </is>
      </c>
      <c r="G126" s="31" t="n">
        <v>30</v>
      </c>
      <c r="H126" s="33" t="n"/>
      <c r="I126" s="33">
        <f>IF(H126&gt;0, H126*G126, "")</f>
        <v/>
      </c>
      <c r="J126" s="33" t="n"/>
      <c r="K126" s="33" t="n">
        <v>0</v>
      </c>
      <c r="L126" s="34">
        <f>IF(I126&gt;0, MAX(0, I126-J126-K126), 0)</f>
        <v/>
      </c>
      <c r="M126" s="35" t="n">
        <v>0.75</v>
      </c>
      <c r="N126" s="36">
        <f>L126*M126</f>
        <v/>
      </c>
    </row>
    <row r="127" ht="19" customHeight="1">
      <c r="A127" s="31" t="inlineStr">
        <is>
          <t>07/09/2026</t>
        </is>
      </c>
      <c r="B127" s="31" t="inlineStr">
        <is>
          <t>Lunes</t>
        </is>
      </c>
      <c r="C127" s="31" t="inlineStr">
        <is>
          <t>Sucursal Central</t>
        </is>
      </c>
      <c r="D127" s="31" t="n">
        <v>70</v>
      </c>
      <c r="E127" s="31" t="inlineStr">
        <is>
          <t>Reposteria</t>
        </is>
      </c>
      <c r="F127" s="32" t="inlineStr">
        <is>
          <t>Cortada de Fresa</t>
        </is>
      </c>
      <c r="G127" s="31" t="n">
        <v>14</v>
      </c>
      <c r="H127" s="33" t="n"/>
      <c r="I127" s="33">
        <f>IF(H127&gt;0, H127*G127, "")</f>
        <v/>
      </c>
      <c r="J127" s="33" t="n"/>
      <c r="K127" s="33" t="n">
        <v>0</v>
      </c>
      <c r="L127" s="34">
        <f>IF(I127&gt;0, MAX(0, I127-J127-K127), 0)</f>
        <v/>
      </c>
      <c r="M127" s="35" t="n">
        <v>2.5</v>
      </c>
      <c r="N127" s="36">
        <f>L127*M127</f>
        <v/>
      </c>
    </row>
    <row r="128" ht="19" customHeight="1">
      <c r="A128" s="31" t="inlineStr">
        <is>
          <t>07/09/2026</t>
        </is>
      </c>
      <c r="B128" s="31" t="inlineStr">
        <is>
          <t>Lunes</t>
        </is>
      </c>
      <c r="C128" s="31" t="inlineStr">
        <is>
          <t>Sucursal Central</t>
        </is>
      </c>
      <c r="D128" s="31" t="n">
        <v>71</v>
      </c>
      <c r="E128" s="31" t="inlineStr">
        <is>
          <t>Reposteria</t>
        </is>
      </c>
      <c r="F128" s="32" t="inlineStr">
        <is>
          <t>Cortada de Chocolate</t>
        </is>
      </c>
      <c r="G128" s="31" t="n">
        <v>14</v>
      </c>
      <c r="H128" s="33" t="n"/>
      <c r="I128" s="33">
        <f>IF(H128&gt;0, H128*G128, "")</f>
        <v/>
      </c>
      <c r="J128" s="33" t="n"/>
      <c r="K128" s="33" t="n">
        <v>0</v>
      </c>
      <c r="L128" s="34">
        <f>IF(I128&gt;0, MAX(0, I128-J128-K128), 0)</f>
        <v/>
      </c>
      <c r="M128" s="35" t="n">
        <v>2.5</v>
      </c>
      <c r="N128" s="36">
        <f>L128*M128</f>
        <v/>
      </c>
    </row>
    <row r="129" ht="19" customHeight="1">
      <c r="A129" s="37" t="inlineStr">
        <is>
          <t>08/09/2026</t>
        </is>
      </c>
      <c r="B129" s="37" t="inlineStr">
        <is>
          <t>Martes</t>
        </is>
      </c>
      <c r="C129" s="37" t="inlineStr">
        <is>
          <t>Sucursal Central</t>
        </is>
      </c>
      <c r="D129" s="37" t="n">
        <v>54</v>
      </c>
      <c r="E129" s="37" t="inlineStr">
        <is>
          <t>Pan</t>
        </is>
      </c>
      <c r="F129" s="38" t="inlineStr">
        <is>
          <t>Pan Francés Tradicional</t>
        </is>
      </c>
      <c r="G129" s="37" t="n">
        <v>36</v>
      </c>
      <c r="H129" s="39" t="n"/>
      <c r="I129" s="39">
        <f>IF(H129&gt;0, H129*G129, "")</f>
        <v/>
      </c>
      <c r="J129" s="39" t="n"/>
      <c r="K129" s="39" t="n">
        <v>0</v>
      </c>
      <c r="L129" s="40">
        <f>IF(I129&gt;0, MAX(0, I129-J129-K129), 0)</f>
        <v/>
      </c>
      <c r="M129" s="41" t="n">
        <v>0.5</v>
      </c>
      <c r="N129" s="42">
        <f>L129*M129</f>
        <v/>
      </c>
    </row>
    <row r="130" ht="19" customHeight="1">
      <c r="A130" s="37" t="inlineStr">
        <is>
          <t>08/09/2026</t>
        </is>
      </c>
      <c r="B130" s="37" t="inlineStr">
        <is>
          <t>Martes</t>
        </is>
      </c>
      <c r="C130" s="37" t="inlineStr">
        <is>
          <t>Sucursal Central</t>
        </is>
      </c>
      <c r="D130" s="37" t="n">
        <v>55</v>
      </c>
      <c r="E130" s="37" t="inlineStr">
        <is>
          <t>Pan Dulce</t>
        </is>
      </c>
      <c r="F130" s="38" t="inlineStr">
        <is>
          <t>Pan Dulce Pequeño</t>
        </is>
      </c>
      <c r="G130" s="37" t="n">
        <v>40</v>
      </c>
      <c r="H130" s="39" t="n"/>
      <c r="I130" s="39">
        <f>IF(H130&gt;0, H130*G130, "")</f>
        <v/>
      </c>
      <c r="J130" s="39" t="n"/>
      <c r="K130" s="39" t="n">
        <v>0</v>
      </c>
      <c r="L130" s="40">
        <f>IF(I130&gt;0, MAX(0, I130-J130-K130), 0)</f>
        <v/>
      </c>
      <c r="M130" s="41" t="n">
        <v>0.5</v>
      </c>
      <c r="N130" s="42">
        <f>L130*M130</f>
        <v/>
      </c>
    </row>
    <row r="131" ht="19" customHeight="1">
      <c r="A131" s="37" t="inlineStr">
        <is>
          <t>08/09/2026</t>
        </is>
      </c>
      <c r="B131" s="37" t="inlineStr">
        <is>
          <t>Martes</t>
        </is>
      </c>
      <c r="C131" s="37" t="inlineStr">
        <is>
          <t>Sucursal Central</t>
        </is>
      </c>
      <c r="D131" s="37" t="n">
        <v>56</v>
      </c>
      <c r="E131" s="37" t="inlineStr">
        <is>
          <t>Pan Dulce</t>
        </is>
      </c>
      <c r="F131" s="38" t="inlineStr">
        <is>
          <t>Pan Dulce Grande</t>
        </is>
      </c>
      <c r="G131" s="37" t="n">
        <v>20</v>
      </c>
      <c r="H131" s="39" t="n"/>
      <c r="I131" s="39">
        <f>IF(H131&gt;0, H131*G131, "")</f>
        <v/>
      </c>
      <c r="J131" s="39" t="n"/>
      <c r="K131" s="39" t="n">
        <v>0</v>
      </c>
      <c r="L131" s="40">
        <f>IF(I131&gt;0, MAX(0, I131-J131-K131), 0)</f>
        <v/>
      </c>
      <c r="M131" s="41" t="n">
        <v>1.25</v>
      </c>
      <c r="N131" s="42">
        <f>L131*M131</f>
        <v/>
      </c>
    </row>
    <row r="132" ht="19" customHeight="1">
      <c r="A132" s="37" t="inlineStr">
        <is>
          <t>08/09/2026</t>
        </is>
      </c>
      <c r="B132" s="37" t="inlineStr">
        <is>
          <t>Martes</t>
        </is>
      </c>
      <c r="C132" s="37" t="inlineStr">
        <is>
          <t>Sucursal Central</t>
        </is>
      </c>
      <c r="D132" s="37" t="n">
        <v>57</v>
      </c>
      <c r="E132" s="37" t="inlineStr">
        <is>
          <t>Galletas</t>
        </is>
      </c>
      <c r="F132" s="38" t="inlineStr">
        <is>
          <t>Pan Galleta</t>
        </is>
      </c>
      <c r="G132" s="37" t="n">
        <v>20</v>
      </c>
      <c r="H132" s="39" t="n"/>
      <c r="I132" s="39">
        <f>IF(H132&gt;0, H132*G132, "")</f>
        <v/>
      </c>
      <c r="J132" s="39" t="n"/>
      <c r="K132" s="39" t="n">
        <v>0</v>
      </c>
      <c r="L132" s="40">
        <f>IF(I132&gt;0, MAX(0, I132-J132-K132), 0)</f>
        <v/>
      </c>
      <c r="M132" s="41" t="n">
        <v>1.25</v>
      </c>
      <c r="N132" s="42">
        <f>L132*M132</f>
        <v/>
      </c>
    </row>
    <row r="133" ht="19" customHeight="1">
      <c r="A133" s="37" t="inlineStr">
        <is>
          <t>08/09/2026</t>
        </is>
      </c>
      <c r="B133" s="37" t="inlineStr">
        <is>
          <t>Martes</t>
        </is>
      </c>
      <c r="C133" s="37" t="inlineStr">
        <is>
          <t>Sucursal Central</t>
        </is>
      </c>
      <c r="D133" s="37" t="n">
        <v>58</v>
      </c>
      <c r="E133" s="37" t="inlineStr">
        <is>
          <t>Galletas</t>
        </is>
      </c>
      <c r="F133" s="38" t="inlineStr">
        <is>
          <t>Champurrada Pequeña</t>
        </is>
      </c>
      <c r="G133" s="37" t="n">
        <v>24</v>
      </c>
      <c r="H133" s="39" t="n"/>
      <c r="I133" s="39">
        <f>IF(H133&gt;0, H133*G133, "")</f>
        <v/>
      </c>
      <c r="J133" s="39" t="n"/>
      <c r="K133" s="39" t="n">
        <v>0</v>
      </c>
      <c r="L133" s="40">
        <f>IF(I133&gt;0, MAX(0, I133-J133-K133), 0)</f>
        <v/>
      </c>
      <c r="M133" s="41" t="n">
        <v>0.5</v>
      </c>
      <c r="N133" s="42">
        <f>L133*M133</f>
        <v/>
      </c>
    </row>
    <row r="134" ht="19" customHeight="1">
      <c r="A134" s="37" t="inlineStr">
        <is>
          <t>08/09/2026</t>
        </is>
      </c>
      <c r="B134" s="37" t="inlineStr">
        <is>
          <t>Martes</t>
        </is>
      </c>
      <c r="C134" s="37" t="inlineStr">
        <is>
          <t>Sucursal Central</t>
        </is>
      </c>
      <c r="D134" s="37" t="n">
        <v>59</v>
      </c>
      <c r="E134" s="37" t="inlineStr">
        <is>
          <t>Galletas</t>
        </is>
      </c>
      <c r="F134" s="38" t="inlineStr">
        <is>
          <t>Champurrada Grande</t>
        </is>
      </c>
      <c r="G134" s="37" t="n">
        <v>15</v>
      </c>
      <c r="H134" s="39" t="n"/>
      <c r="I134" s="39">
        <f>IF(H134&gt;0, H134*G134, "")</f>
        <v/>
      </c>
      <c r="J134" s="39" t="n"/>
      <c r="K134" s="39" t="n">
        <v>0</v>
      </c>
      <c r="L134" s="40">
        <f>IF(I134&gt;0, MAX(0, I134-J134-K134), 0)</f>
        <v/>
      </c>
      <c r="M134" s="41" t="n">
        <v>1.25</v>
      </c>
      <c r="N134" s="42">
        <f>L134*M134</f>
        <v/>
      </c>
    </row>
    <row r="135" ht="19" customHeight="1">
      <c r="A135" s="37" t="inlineStr">
        <is>
          <t>08/09/2026</t>
        </is>
      </c>
      <c r="B135" s="37" t="inlineStr">
        <is>
          <t>Martes</t>
        </is>
      </c>
      <c r="C135" s="37" t="inlineStr">
        <is>
          <t>Sucursal Central</t>
        </is>
      </c>
      <c r="D135" s="37" t="n">
        <v>60</v>
      </c>
      <c r="E135" s="37" t="inlineStr">
        <is>
          <t>Reposteria</t>
        </is>
      </c>
      <c r="F135" s="38" t="inlineStr">
        <is>
          <t>Cubilete de Vainilla</t>
        </is>
      </c>
      <c r="G135" s="37" t="n">
        <v>30</v>
      </c>
      <c r="H135" s="39" t="n"/>
      <c r="I135" s="39">
        <f>IF(H135&gt;0, H135*G135, "")</f>
        <v/>
      </c>
      <c r="J135" s="39" t="n"/>
      <c r="K135" s="39" t="n">
        <v>0</v>
      </c>
      <c r="L135" s="40">
        <f>IF(I135&gt;0, MAX(0, I135-J135-K135), 0)</f>
        <v/>
      </c>
      <c r="M135" s="41" t="n">
        <v>2</v>
      </c>
      <c r="N135" s="42">
        <f>L135*M135</f>
        <v/>
      </c>
    </row>
    <row r="136" ht="19" customHeight="1">
      <c r="A136" s="37" t="inlineStr">
        <is>
          <t>08/09/2026</t>
        </is>
      </c>
      <c r="B136" s="37" t="inlineStr">
        <is>
          <t>Martes</t>
        </is>
      </c>
      <c r="C136" s="37" t="inlineStr">
        <is>
          <t>Sucursal Central</t>
        </is>
      </c>
      <c r="D136" s="37" t="n">
        <v>61</v>
      </c>
      <c r="E136" s="37" t="inlineStr">
        <is>
          <t>Reposteria</t>
        </is>
      </c>
      <c r="F136" s="38" t="inlineStr">
        <is>
          <t>Cubilete de Banano</t>
        </is>
      </c>
      <c r="G136" s="37" t="n">
        <v>30</v>
      </c>
      <c r="H136" s="39" t="n"/>
      <c r="I136" s="39">
        <f>IF(H136&gt;0, H136*G136, "")</f>
        <v/>
      </c>
      <c r="J136" s="39" t="n"/>
      <c r="K136" s="39" t="n">
        <v>0</v>
      </c>
      <c r="L136" s="40">
        <f>IF(I136&gt;0, MAX(0, I136-J136-K136), 0)</f>
        <v/>
      </c>
      <c r="M136" s="41" t="n">
        <v>2</v>
      </c>
      <c r="N136" s="42">
        <f>L136*M136</f>
        <v/>
      </c>
    </row>
    <row r="137" ht="19" customHeight="1">
      <c r="A137" s="37" t="inlineStr">
        <is>
          <t>08/09/2026</t>
        </is>
      </c>
      <c r="B137" s="37" t="inlineStr">
        <is>
          <t>Martes</t>
        </is>
      </c>
      <c r="C137" s="37" t="inlineStr">
        <is>
          <t>Sucursal Central</t>
        </is>
      </c>
      <c r="D137" s="37" t="n">
        <v>62</v>
      </c>
      <c r="E137" s="37" t="inlineStr">
        <is>
          <t>Reposteria</t>
        </is>
      </c>
      <c r="F137" s="38" t="inlineStr">
        <is>
          <t>Empanada de Piña</t>
        </is>
      </c>
      <c r="G137" s="37" t="n">
        <v>16</v>
      </c>
      <c r="H137" s="39" t="n"/>
      <c r="I137" s="39">
        <f>IF(H137&gt;0, H137*G137, "")</f>
        <v/>
      </c>
      <c r="J137" s="39" t="n"/>
      <c r="K137" s="39" t="n">
        <v>0</v>
      </c>
      <c r="L137" s="40">
        <f>IF(I137&gt;0, MAX(0, I137-J137-K137), 0)</f>
        <v/>
      </c>
      <c r="M137" s="41" t="n">
        <v>2.5</v>
      </c>
      <c r="N137" s="42">
        <f>L137*M137</f>
        <v/>
      </c>
    </row>
    <row r="138" ht="19" customHeight="1">
      <c r="A138" s="37" t="inlineStr">
        <is>
          <t>08/09/2026</t>
        </is>
      </c>
      <c r="B138" s="37" t="inlineStr">
        <is>
          <t>Martes</t>
        </is>
      </c>
      <c r="C138" s="37" t="inlineStr">
        <is>
          <t>Sucursal Central</t>
        </is>
      </c>
      <c r="D138" s="37" t="n">
        <v>63</v>
      </c>
      <c r="E138" s="37" t="inlineStr">
        <is>
          <t>Reposteria</t>
        </is>
      </c>
      <c r="F138" s="38" t="inlineStr">
        <is>
          <t>Empanada de Manjar</t>
        </is>
      </c>
      <c r="G138" s="37" t="n">
        <v>16</v>
      </c>
      <c r="H138" s="39" t="n"/>
      <c r="I138" s="39">
        <f>IF(H138&gt;0, H138*G138, "")</f>
        <v/>
      </c>
      <c r="J138" s="39" t="n"/>
      <c r="K138" s="39" t="n">
        <v>0</v>
      </c>
      <c r="L138" s="40">
        <f>IF(I138&gt;0, MAX(0, I138-J138-K138), 0)</f>
        <v/>
      </c>
      <c r="M138" s="41" t="n">
        <v>2.5</v>
      </c>
      <c r="N138" s="42">
        <f>L138*M138</f>
        <v/>
      </c>
    </row>
    <row r="139" ht="19" customHeight="1">
      <c r="A139" s="37" t="inlineStr">
        <is>
          <t>08/09/2026</t>
        </is>
      </c>
      <c r="B139" s="37" t="inlineStr">
        <is>
          <t>Martes</t>
        </is>
      </c>
      <c r="C139" s="37" t="inlineStr">
        <is>
          <t>Sucursal Central</t>
        </is>
      </c>
      <c r="D139" s="37" t="n">
        <v>64</v>
      </c>
      <c r="E139" s="37" t="inlineStr">
        <is>
          <t>Galletas</t>
        </is>
      </c>
      <c r="F139" s="38" t="inlineStr">
        <is>
          <t>Polvorosa Tradicional</t>
        </is>
      </c>
      <c r="G139" s="37" t="n">
        <v>15</v>
      </c>
      <c r="H139" s="39" t="n"/>
      <c r="I139" s="39">
        <f>IF(H139&gt;0, H139*G139, "")</f>
        <v/>
      </c>
      <c r="J139" s="39" t="n"/>
      <c r="K139" s="39" t="n">
        <v>0</v>
      </c>
      <c r="L139" s="40">
        <f>IF(I139&gt;0, MAX(0, I139-J139-K139), 0)</f>
        <v/>
      </c>
      <c r="M139" s="41" t="n">
        <v>1.25</v>
      </c>
      <c r="N139" s="42">
        <f>L139*M139</f>
        <v/>
      </c>
    </row>
    <row r="140" ht="19" customHeight="1">
      <c r="A140" s="37" t="inlineStr">
        <is>
          <t>08/09/2026</t>
        </is>
      </c>
      <c r="B140" s="37" t="inlineStr">
        <is>
          <t>Martes</t>
        </is>
      </c>
      <c r="C140" s="37" t="inlineStr">
        <is>
          <t>Sucursal Central</t>
        </is>
      </c>
      <c r="D140" s="37" t="n">
        <v>65</v>
      </c>
      <c r="E140" s="37" t="inlineStr">
        <is>
          <t>Donas</t>
        </is>
      </c>
      <c r="F140" s="38" t="inlineStr">
        <is>
          <t>Dona Simple Glaseada</t>
        </is>
      </c>
      <c r="G140" s="37" t="n">
        <v>24</v>
      </c>
      <c r="H140" s="39" t="n"/>
      <c r="I140" s="39">
        <f>IF(H140&gt;0, H140*G140, "")</f>
        <v/>
      </c>
      <c r="J140" s="39" t="n"/>
      <c r="K140" s="39" t="n">
        <v>0</v>
      </c>
      <c r="L140" s="40">
        <f>IF(I140&gt;0, MAX(0, I140-J140-K140), 0)</f>
        <v/>
      </c>
      <c r="M140" s="41" t="n">
        <v>2.5</v>
      </c>
      <c r="N140" s="42">
        <f>L140*M140</f>
        <v/>
      </c>
    </row>
    <row r="141" ht="19" customHeight="1">
      <c r="A141" s="37" t="inlineStr">
        <is>
          <t>08/09/2026</t>
        </is>
      </c>
      <c r="B141" s="37" t="inlineStr">
        <is>
          <t>Martes</t>
        </is>
      </c>
      <c r="C141" s="37" t="inlineStr">
        <is>
          <t>Sucursal Central</t>
        </is>
      </c>
      <c r="D141" s="37" t="n">
        <v>66</v>
      </c>
      <c r="E141" s="37" t="inlineStr">
        <is>
          <t>Donas</t>
        </is>
      </c>
      <c r="F141" s="38" t="inlineStr">
        <is>
          <t>Dona Rellena de Manjar</t>
        </is>
      </c>
      <c r="G141" s="37" t="n">
        <v>24</v>
      </c>
      <c r="H141" s="39" t="n"/>
      <c r="I141" s="39">
        <f>IF(H141&gt;0, H141*G141, "")</f>
        <v/>
      </c>
      <c r="J141" s="39" t="n"/>
      <c r="K141" s="39" t="n">
        <v>0</v>
      </c>
      <c r="L141" s="40">
        <f>IF(I141&gt;0, MAX(0, I141-J141-K141), 0)</f>
        <v/>
      </c>
      <c r="M141" s="41" t="n">
        <v>4</v>
      </c>
      <c r="N141" s="42">
        <f>L141*M141</f>
        <v/>
      </c>
    </row>
    <row r="142" ht="19" customHeight="1">
      <c r="A142" s="37" t="inlineStr">
        <is>
          <t>08/09/2026</t>
        </is>
      </c>
      <c r="B142" s="37" t="inlineStr">
        <is>
          <t>Martes</t>
        </is>
      </c>
      <c r="C142" s="37" t="inlineStr">
        <is>
          <t>Sucursal Central</t>
        </is>
      </c>
      <c r="D142" s="37" t="n">
        <v>67</v>
      </c>
      <c r="E142" s="37" t="inlineStr">
        <is>
          <t>Donas</t>
        </is>
      </c>
      <c r="F142" s="38" t="inlineStr">
        <is>
          <t>Dona Rellena de Fresa</t>
        </is>
      </c>
      <c r="G142" s="37" t="n">
        <v>24</v>
      </c>
      <c r="H142" s="39" t="n"/>
      <c r="I142" s="39">
        <f>IF(H142&gt;0, H142*G142, "")</f>
        <v/>
      </c>
      <c r="J142" s="39" t="n"/>
      <c r="K142" s="39" t="n">
        <v>0</v>
      </c>
      <c r="L142" s="40">
        <f>IF(I142&gt;0, MAX(0, I142-J142-K142), 0)</f>
        <v/>
      </c>
      <c r="M142" s="41" t="n">
        <v>4</v>
      </c>
      <c r="N142" s="42">
        <f>L142*M142</f>
        <v/>
      </c>
    </row>
    <row r="143" ht="19" customHeight="1">
      <c r="A143" s="37" t="inlineStr">
        <is>
          <t>08/09/2026</t>
        </is>
      </c>
      <c r="B143" s="37" t="inlineStr">
        <is>
          <t>Martes</t>
        </is>
      </c>
      <c r="C143" s="37" t="inlineStr">
        <is>
          <t>Sucursal Central</t>
        </is>
      </c>
      <c r="D143" s="37" t="n">
        <v>68</v>
      </c>
      <c r="E143" s="37" t="inlineStr">
        <is>
          <t>Pan Dulce</t>
        </is>
      </c>
      <c r="F143" s="38" t="inlineStr">
        <is>
          <t>Campechana</t>
        </is>
      </c>
      <c r="G143" s="37" t="n">
        <v>20</v>
      </c>
      <c r="H143" s="39" t="n"/>
      <c r="I143" s="39">
        <f>IF(H143&gt;0, H143*G143, "")</f>
        <v/>
      </c>
      <c r="J143" s="39" t="n"/>
      <c r="K143" s="39" t="n">
        <v>0</v>
      </c>
      <c r="L143" s="40">
        <f>IF(I143&gt;0, MAX(0, I143-J143-K143), 0)</f>
        <v/>
      </c>
      <c r="M143" s="41" t="n">
        <v>1.25</v>
      </c>
      <c r="N143" s="42">
        <f>L143*M143</f>
        <v/>
      </c>
    </row>
    <row r="144" ht="19" customHeight="1">
      <c r="A144" s="37" t="inlineStr">
        <is>
          <t>08/09/2026</t>
        </is>
      </c>
      <c r="B144" s="37" t="inlineStr">
        <is>
          <t>Martes</t>
        </is>
      </c>
      <c r="C144" s="37" t="inlineStr">
        <is>
          <t>Sucursal Central</t>
        </is>
      </c>
      <c r="D144" s="37" t="n">
        <v>69</v>
      </c>
      <c r="E144" s="37" t="inlineStr">
        <is>
          <t>Pan Dulce</t>
        </is>
      </c>
      <c r="F144" s="38" t="inlineStr">
        <is>
          <t>Pasitas</t>
        </is>
      </c>
      <c r="G144" s="37" t="n">
        <v>30</v>
      </c>
      <c r="H144" s="39" t="n"/>
      <c r="I144" s="39">
        <f>IF(H144&gt;0, H144*G144, "")</f>
        <v/>
      </c>
      <c r="J144" s="39" t="n"/>
      <c r="K144" s="39" t="n">
        <v>0</v>
      </c>
      <c r="L144" s="40">
        <f>IF(I144&gt;0, MAX(0, I144-J144-K144), 0)</f>
        <v/>
      </c>
      <c r="M144" s="41" t="n">
        <v>0.75</v>
      </c>
      <c r="N144" s="42">
        <f>L144*M144</f>
        <v/>
      </c>
    </row>
    <row r="145" ht="19" customHeight="1">
      <c r="A145" s="37" t="inlineStr">
        <is>
          <t>08/09/2026</t>
        </is>
      </c>
      <c r="B145" s="37" t="inlineStr">
        <is>
          <t>Martes</t>
        </is>
      </c>
      <c r="C145" s="37" t="inlineStr">
        <is>
          <t>Sucursal Central</t>
        </is>
      </c>
      <c r="D145" s="37" t="n">
        <v>70</v>
      </c>
      <c r="E145" s="37" t="inlineStr">
        <is>
          <t>Reposteria</t>
        </is>
      </c>
      <c r="F145" s="38" t="inlineStr">
        <is>
          <t>Cortada de Fresa</t>
        </is>
      </c>
      <c r="G145" s="37" t="n">
        <v>14</v>
      </c>
      <c r="H145" s="39" t="n"/>
      <c r="I145" s="39">
        <f>IF(H145&gt;0, H145*G145, "")</f>
        <v/>
      </c>
      <c r="J145" s="39" t="n"/>
      <c r="K145" s="39" t="n">
        <v>0</v>
      </c>
      <c r="L145" s="40">
        <f>IF(I145&gt;0, MAX(0, I145-J145-K145), 0)</f>
        <v/>
      </c>
      <c r="M145" s="41" t="n">
        <v>2.5</v>
      </c>
      <c r="N145" s="42">
        <f>L145*M145</f>
        <v/>
      </c>
    </row>
    <row r="146" ht="19" customHeight="1">
      <c r="A146" s="37" t="inlineStr">
        <is>
          <t>08/09/2026</t>
        </is>
      </c>
      <c r="B146" s="37" t="inlineStr">
        <is>
          <t>Martes</t>
        </is>
      </c>
      <c r="C146" s="37" t="inlineStr">
        <is>
          <t>Sucursal Central</t>
        </is>
      </c>
      <c r="D146" s="37" t="n">
        <v>71</v>
      </c>
      <c r="E146" s="37" t="inlineStr">
        <is>
          <t>Reposteria</t>
        </is>
      </c>
      <c r="F146" s="38" t="inlineStr">
        <is>
          <t>Cortada de Chocolate</t>
        </is>
      </c>
      <c r="G146" s="37" t="n">
        <v>14</v>
      </c>
      <c r="H146" s="39" t="n"/>
      <c r="I146" s="39">
        <f>IF(H146&gt;0, H146*G146, "")</f>
        <v/>
      </c>
      <c r="J146" s="39" t="n"/>
      <c r="K146" s="39" t="n">
        <v>0</v>
      </c>
      <c r="L146" s="40">
        <f>IF(I146&gt;0, MAX(0, I146-J146-K146), 0)</f>
        <v/>
      </c>
      <c r="M146" s="41" t="n">
        <v>2.5</v>
      </c>
      <c r="N146" s="42">
        <f>L146*M146</f>
        <v/>
      </c>
    </row>
    <row r="147" ht="19" customHeight="1">
      <c r="A147" s="31" t="inlineStr">
        <is>
          <t>09/09/2026</t>
        </is>
      </c>
      <c r="B147" s="31" t="inlineStr">
        <is>
          <t>Miércoles</t>
        </is>
      </c>
      <c r="C147" s="31" t="inlineStr">
        <is>
          <t>Sucursal Central</t>
        </is>
      </c>
      <c r="D147" s="31" t="n">
        <v>54</v>
      </c>
      <c r="E147" s="31" t="inlineStr">
        <is>
          <t>Pan</t>
        </is>
      </c>
      <c r="F147" s="32" t="inlineStr">
        <is>
          <t>Pan Francés Tradicional</t>
        </is>
      </c>
      <c r="G147" s="31" t="n">
        <v>36</v>
      </c>
      <c r="H147" s="33" t="n"/>
      <c r="I147" s="33">
        <f>IF(H147&gt;0, H147*G147, "")</f>
        <v/>
      </c>
      <c r="J147" s="33" t="n"/>
      <c r="K147" s="33" t="n">
        <v>0</v>
      </c>
      <c r="L147" s="34">
        <f>IF(I147&gt;0, MAX(0, I147-J147-K147), 0)</f>
        <v/>
      </c>
      <c r="M147" s="35" t="n">
        <v>0.5</v>
      </c>
      <c r="N147" s="36">
        <f>L147*M147</f>
        <v/>
      </c>
    </row>
    <row r="148" ht="19" customHeight="1">
      <c r="A148" s="31" t="inlineStr">
        <is>
          <t>09/09/2026</t>
        </is>
      </c>
      <c r="B148" s="31" t="inlineStr">
        <is>
          <t>Miércoles</t>
        </is>
      </c>
      <c r="C148" s="31" t="inlineStr">
        <is>
          <t>Sucursal Central</t>
        </is>
      </c>
      <c r="D148" s="31" t="n">
        <v>55</v>
      </c>
      <c r="E148" s="31" t="inlineStr">
        <is>
          <t>Pan Dulce</t>
        </is>
      </c>
      <c r="F148" s="32" t="inlineStr">
        <is>
          <t>Pan Dulce Pequeño</t>
        </is>
      </c>
      <c r="G148" s="31" t="n">
        <v>40</v>
      </c>
      <c r="H148" s="33" t="n"/>
      <c r="I148" s="33">
        <f>IF(H148&gt;0, H148*G148, "")</f>
        <v/>
      </c>
      <c r="J148" s="33" t="n"/>
      <c r="K148" s="33" t="n">
        <v>0</v>
      </c>
      <c r="L148" s="34">
        <f>IF(I148&gt;0, MAX(0, I148-J148-K148), 0)</f>
        <v/>
      </c>
      <c r="M148" s="35" t="n">
        <v>0.5</v>
      </c>
      <c r="N148" s="36">
        <f>L148*M148</f>
        <v/>
      </c>
    </row>
    <row r="149" ht="19" customHeight="1">
      <c r="A149" s="31" t="inlineStr">
        <is>
          <t>09/09/2026</t>
        </is>
      </c>
      <c r="B149" s="31" t="inlineStr">
        <is>
          <t>Miércoles</t>
        </is>
      </c>
      <c r="C149" s="31" t="inlineStr">
        <is>
          <t>Sucursal Central</t>
        </is>
      </c>
      <c r="D149" s="31" t="n">
        <v>56</v>
      </c>
      <c r="E149" s="31" t="inlineStr">
        <is>
          <t>Pan Dulce</t>
        </is>
      </c>
      <c r="F149" s="32" t="inlineStr">
        <is>
          <t>Pan Dulce Grande</t>
        </is>
      </c>
      <c r="G149" s="31" t="n">
        <v>20</v>
      </c>
      <c r="H149" s="33" t="n"/>
      <c r="I149" s="33">
        <f>IF(H149&gt;0, H149*G149, "")</f>
        <v/>
      </c>
      <c r="J149" s="33" t="n"/>
      <c r="K149" s="33" t="n">
        <v>0</v>
      </c>
      <c r="L149" s="34">
        <f>IF(I149&gt;0, MAX(0, I149-J149-K149), 0)</f>
        <v/>
      </c>
      <c r="M149" s="35" t="n">
        <v>1.25</v>
      </c>
      <c r="N149" s="36">
        <f>L149*M149</f>
        <v/>
      </c>
    </row>
    <row r="150" ht="19" customHeight="1">
      <c r="A150" s="31" t="inlineStr">
        <is>
          <t>09/09/2026</t>
        </is>
      </c>
      <c r="B150" s="31" t="inlineStr">
        <is>
          <t>Miércoles</t>
        </is>
      </c>
      <c r="C150" s="31" t="inlineStr">
        <is>
          <t>Sucursal Central</t>
        </is>
      </c>
      <c r="D150" s="31" t="n">
        <v>57</v>
      </c>
      <c r="E150" s="31" t="inlineStr">
        <is>
          <t>Galletas</t>
        </is>
      </c>
      <c r="F150" s="32" t="inlineStr">
        <is>
          <t>Pan Galleta</t>
        </is>
      </c>
      <c r="G150" s="31" t="n">
        <v>20</v>
      </c>
      <c r="H150" s="33" t="n"/>
      <c r="I150" s="33">
        <f>IF(H150&gt;0, H150*G150, "")</f>
        <v/>
      </c>
      <c r="J150" s="33" t="n"/>
      <c r="K150" s="33" t="n">
        <v>0</v>
      </c>
      <c r="L150" s="34">
        <f>IF(I150&gt;0, MAX(0, I150-J150-K150), 0)</f>
        <v/>
      </c>
      <c r="M150" s="35" t="n">
        <v>1.25</v>
      </c>
      <c r="N150" s="36">
        <f>L150*M150</f>
        <v/>
      </c>
    </row>
    <row r="151" ht="19" customHeight="1">
      <c r="A151" s="31" t="inlineStr">
        <is>
          <t>09/09/2026</t>
        </is>
      </c>
      <c r="B151" s="31" t="inlineStr">
        <is>
          <t>Miércoles</t>
        </is>
      </c>
      <c r="C151" s="31" t="inlineStr">
        <is>
          <t>Sucursal Central</t>
        </is>
      </c>
      <c r="D151" s="31" t="n">
        <v>58</v>
      </c>
      <c r="E151" s="31" t="inlineStr">
        <is>
          <t>Galletas</t>
        </is>
      </c>
      <c r="F151" s="32" t="inlineStr">
        <is>
          <t>Champurrada Pequeña</t>
        </is>
      </c>
      <c r="G151" s="31" t="n">
        <v>24</v>
      </c>
      <c r="H151" s="33" t="n"/>
      <c r="I151" s="33">
        <f>IF(H151&gt;0, H151*G151, "")</f>
        <v/>
      </c>
      <c r="J151" s="33" t="n"/>
      <c r="K151" s="33" t="n">
        <v>0</v>
      </c>
      <c r="L151" s="34">
        <f>IF(I151&gt;0, MAX(0, I151-J151-K151), 0)</f>
        <v/>
      </c>
      <c r="M151" s="35" t="n">
        <v>0.5</v>
      </c>
      <c r="N151" s="36">
        <f>L151*M151</f>
        <v/>
      </c>
    </row>
    <row r="152" ht="19" customHeight="1">
      <c r="A152" s="31" t="inlineStr">
        <is>
          <t>09/09/2026</t>
        </is>
      </c>
      <c r="B152" s="31" t="inlineStr">
        <is>
          <t>Miércoles</t>
        </is>
      </c>
      <c r="C152" s="31" t="inlineStr">
        <is>
          <t>Sucursal Central</t>
        </is>
      </c>
      <c r="D152" s="31" t="n">
        <v>59</v>
      </c>
      <c r="E152" s="31" t="inlineStr">
        <is>
          <t>Galletas</t>
        </is>
      </c>
      <c r="F152" s="32" t="inlineStr">
        <is>
          <t>Champurrada Grande</t>
        </is>
      </c>
      <c r="G152" s="31" t="n">
        <v>15</v>
      </c>
      <c r="H152" s="33" t="n"/>
      <c r="I152" s="33">
        <f>IF(H152&gt;0, H152*G152, "")</f>
        <v/>
      </c>
      <c r="J152" s="33" t="n"/>
      <c r="K152" s="33" t="n">
        <v>0</v>
      </c>
      <c r="L152" s="34">
        <f>IF(I152&gt;0, MAX(0, I152-J152-K152), 0)</f>
        <v/>
      </c>
      <c r="M152" s="35" t="n">
        <v>1.25</v>
      </c>
      <c r="N152" s="36">
        <f>L152*M152</f>
        <v/>
      </c>
    </row>
    <row r="153" ht="19" customHeight="1">
      <c r="A153" s="31" t="inlineStr">
        <is>
          <t>09/09/2026</t>
        </is>
      </c>
      <c r="B153" s="31" t="inlineStr">
        <is>
          <t>Miércoles</t>
        </is>
      </c>
      <c r="C153" s="31" t="inlineStr">
        <is>
          <t>Sucursal Central</t>
        </is>
      </c>
      <c r="D153" s="31" t="n">
        <v>60</v>
      </c>
      <c r="E153" s="31" t="inlineStr">
        <is>
          <t>Reposteria</t>
        </is>
      </c>
      <c r="F153" s="32" t="inlineStr">
        <is>
          <t>Cubilete de Vainilla</t>
        </is>
      </c>
      <c r="G153" s="31" t="n">
        <v>30</v>
      </c>
      <c r="H153" s="33" t="n"/>
      <c r="I153" s="33">
        <f>IF(H153&gt;0, H153*G153, "")</f>
        <v/>
      </c>
      <c r="J153" s="33" t="n"/>
      <c r="K153" s="33" t="n">
        <v>0</v>
      </c>
      <c r="L153" s="34">
        <f>IF(I153&gt;0, MAX(0, I153-J153-K153), 0)</f>
        <v/>
      </c>
      <c r="M153" s="35" t="n">
        <v>2</v>
      </c>
      <c r="N153" s="36">
        <f>L153*M153</f>
        <v/>
      </c>
    </row>
    <row r="154" ht="19" customHeight="1">
      <c r="A154" s="31" t="inlineStr">
        <is>
          <t>09/09/2026</t>
        </is>
      </c>
      <c r="B154" s="31" t="inlineStr">
        <is>
          <t>Miércoles</t>
        </is>
      </c>
      <c r="C154" s="31" t="inlineStr">
        <is>
          <t>Sucursal Central</t>
        </is>
      </c>
      <c r="D154" s="31" t="n">
        <v>61</v>
      </c>
      <c r="E154" s="31" t="inlineStr">
        <is>
          <t>Reposteria</t>
        </is>
      </c>
      <c r="F154" s="32" t="inlineStr">
        <is>
          <t>Cubilete de Banano</t>
        </is>
      </c>
      <c r="G154" s="31" t="n">
        <v>30</v>
      </c>
      <c r="H154" s="33" t="n"/>
      <c r="I154" s="33">
        <f>IF(H154&gt;0, H154*G154, "")</f>
        <v/>
      </c>
      <c r="J154" s="33" t="n"/>
      <c r="K154" s="33" t="n">
        <v>0</v>
      </c>
      <c r="L154" s="34">
        <f>IF(I154&gt;0, MAX(0, I154-J154-K154), 0)</f>
        <v/>
      </c>
      <c r="M154" s="35" t="n">
        <v>2</v>
      </c>
      <c r="N154" s="36">
        <f>L154*M154</f>
        <v/>
      </c>
    </row>
    <row r="155" ht="19" customHeight="1">
      <c r="A155" s="31" t="inlineStr">
        <is>
          <t>09/09/2026</t>
        </is>
      </c>
      <c r="B155" s="31" t="inlineStr">
        <is>
          <t>Miércoles</t>
        </is>
      </c>
      <c r="C155" s="31" t="inlineStr">
        <is>
          <t>Sucursal Central</t>
        </is>
      </c>
      <c r="D155" s="31" t="n">
        <v>62</v>
      </c>
      <c r="E155" s="31" t="inlineStr">
        <is>
          <t>Reposteria</t>
        </is>
      </c>
      <c r="F155" s="32" t="inlineStr">
        <is>
          <t>Empanada de Piña</t>
        </is>
      </c>
      <c r="G155" s="31" t="n">
        <v>16</v>
      </c>
      <c r="H155" s="33" t="n"/>
      <c r="I155" s="33">
        <f>IF(H155&gt;0, H155*G155, "")</f>
        <v/>
      </c>
      <c r="J155" s="33" t="n"/>
      <c r="K155" s="33" t="n">
        <v>0</v>
      </c>
      <c r="L155" s="34">
        <f>IF(I155&gt;0, MAX(0, I155-J155-K155), 0)</f>
        <v/>
      </c>
      <c r="M155" s="35" t="n">
        <v>2.5</v>
      </c>
      <c r="N155" s="36">
        <f>L155*M155</f>
        <v/>
      </c>
    </row>
    <row r="156" ht="19" customHeight="1">
      <c r="A156" s="31" t="inlineStr">
        <is>
          <t>09/09/2026</t>
        </is>
      </c>
      <c r="B156" s="31" t="inlineStr">
        <is>
          <t>Miércoles</t>
        </is>
      </c>
      <c r="C156" s="31" t="inlineStr">
        <is>
          <t>Sucursal Central</t>
        </is>
      </c>
      <c r="D156" s="31" t="n">
        <v>63</v>
      </c>
      <c r="E156" s="31" t="inlineStr">
        <is>
          <t>Reposteria</t>
        </is>
      </c>
      <c r="F156" s="32" t="inlineStr">
        <is>
          <t>Empanada de Manjar</t>
        </is>
      </c>
      <c r="G156" s="31" t="n">
        <v>16</v>
      </c>
      <c r="H156" s="33" t="n"/>
      <c r="I156" s="33">
        <f>IF(H156&gt;0, H156*G156, "")</f>
        <v/>
      </c>
      <c r="J156" s="33" t="n"/>
      <c r="K156" s="33" t="n">
        <v>0</v>
      </c>
      <c r="L156" s="34">
        <f>IF(I156&gt;0, MAX(0, I156-J156-K156), 0)</f>
        <v/>
      </c>
      <c r="M156" s="35" t="n">
        <v>2.5</v>
      </c>
      <c r="N156" s="36">
        <f>L156*M156</f>
        <v/>
      </c>
    </row>
    <row r="157" ht="19" customHeight="1">
      <c r="A157" s="31" t="inlineStr">
        <is>
          <t>09/09/2026</t>
        </is>
      </c>
      <c r="B157" s="31" t="inlineStr">
        <is>
          <t>Miércoles</t>
        </is>
      </c>
      <c r="C157" s="31" t="inlineStr">
        <is>
          <t>Sucursal Central</t>
        </is>
      </c>
      <c r="D157" s="31" t="n">
        <v>64</v>
      </c>
      <c r="E157" s="31" t="inlineStr">
        <is>
          <t>Galletas</t>
        </is>
      </c>
      <c r="F157" s="32" t="inlineStr">
        <is>
          <t>Polvorosa Tradicional</t>
        </is>
      </c>
      <c r="G157" s="31" t="n">
        <v>15</v>
      </c>
      <c r="H157" s="33" t="n"/>
      <c r="I157" s="33">
        <f>IF(H157&gt;0, H157*G157, "")</f>
        <v/>
      </c>
      <c r="J157" s="33" t="n"/>
      <c r="K157" s="33" t="n">
        <v>0</v>
      </c>
      <c r="L157" s="34">
        <f>IF(I157&gt;0, MAX(0, I157-J157-K157), 0)</f>
        <v/>
      </c>
      <c r="M157" s="35" t="n">
        <v>1.25</v>
      </c>
      <c r="N157" s="36">
        <f>L157*M157</f>
        <v/>
      </c>
    </row>
    <row r="158" ht="19" customHeight="1">
      <c r="A158" s="31" t="inlineStr">
        <is>
          <t>09/09/2026</t>
        </is>
      </c>
      <c r="B158" s="31" t="inlineStr">
        <is>
          <t>Miércoles</t>
        </is>
      </c>
      <c r="C158" s="31" t="inlineStr">
        <is>
          <t>Sucursal Central</t>
        </is>
      </c>
      <c r="D158" s="31" t="n">
        <v>65</v>
      </c>
      <c r="E158" s="31" t="inlineStr">
        <is>
          <t>Donas</t>
        </is>
      </c>
      <c r="F158" s="32" t="inlineStr">
        <is>
          <t>Dona Simple Glaseada</t>
        </is>
      </c>
      <c r="G158" s="31" t="n">
        <v>24</v>
      </c>
      <c r="H158" s="33" t="n"/>
      <c r="I158" s="33">
        <f>IF(H158&gt;0, H158*G158, "")</f>
        <v/>
      </c>
      <c r="J158" s="33" t="n"/>
      <c r="K158" s="33" t="n">
        <v>0</v>
      </c>
      <c r="L158" s="34">
        <f>IF(I158&gt;0, MAX(0, I158-J158-K158), 0)</f>
        <v/>
      </c>
      <c r="M158" s="35" t="n">
        <v>2.5</v>
      </c>
      <c r="N158" s="36">
        <f>L158*M158</f>
        <v/>
      </c>
    </row>
    <row r="159" ht="19" customHeight="1">
      <c r="A159" s="31" t="inlineStr">
        <is>
          <t>09/09/2026</t>
        </is>
      </c>
      <c r="B159" s="31" t="inlineStr">
        <is>
          <t>Miércoles</t>
        </is>
      </c>
      <c r="C159" s="31" t="inlineStr">
        <is>
          <t>Sucursal Central</t>
        </is>
      </c>
      <c r="D159" s="31" t="n">
        <v>66</v>
      </c>
      <c r="E159" s="31" t="inlineStr">
        <is>
          <t>Donas</t>
        </is>
      </c>
      <c r="F159" s="32" t="inlineStr">
        <is>
          <t>Dona Rellena de Manjar</t>
        </is>
      </c>
      <c r="G159" s="31" t="n">
        <v>24</v>
      </c>
      <c r="H159" s="33" t="n"/>
      <c r="I159" s="33">
        <f>IF(H159&gt;0, H159*G159, "")</f>
        <v/>
      </c>
      <c r="J159" s="33" t="n"/>
      <c r="K159" s="33" t="n">
        <v>0</v>
      </c>
      <c r="L159" s="34">
        <f>IF(I159&gt;0, MAX(0, I159-J159-K159), 0)</f>
        <v/>
      </c>
      <c r="M159" s="35" t="n">
        <v>4</v>
      </c>
      <c r="N159" s="36">
        <f>L159*M159</f>
        <v/>
      </c>
    </row>
    <row r="160" ht="19" customHeight="1">
      <c r="A160" s="31" t="inlineStr">
        <is>
          <t>09/09/2026</t>
        </is>
      </c>
      <c r="B160" s="31" t="inlineStr">
        <is>
          <t>Miércoles</t>
        </is>
      </c>
      <c r="C160" s="31" t="inlineStr">
        <is>
          <t>Sucursal Central</t>
        </is>
      </c>
      <c r="D160" s="31" t="n">
        <v>67</v>
      </c>
      <c r="E160" s="31" t="inlineStr">
        <is>
          <t>Donas</t>
        </is>
      </c>
      <c r="F160" s="32" t="inlineStr">
        <is>
          <t>Dona Rellena de Fresa</t>
        </is>
      </c>
      <c r="G160" s="31" t="n">
        <v>24</v>
      </c>
      <c r="H160" s="33" t="n"/>
      <c r="I160" s="33">
        <f>IF(H160&gt;0, H160*G160, "")</f>
        <v/>
      </c>
      <c r="J160" s="33" t="n"/>
      <c r="K160" s="33" t="n">
        <v>0</v>
      </c>
      <c r="L160" s="34">
        <f>IF(I160&gt;0, MAX(0, I160-J160-K160), 0)</f>
        <v/>
      </c>
      <c r="M160" s="35" t="n">
        <v>4</v>
      </c>
      <c r="N160" s="36">
        <f>L160*M160</f>
        <v/>
      </c>
    </row>
    <row r="161" ht="19" customHeight="1">
      <c r="A161" s="31" t="inlineStr">
        <is>
          <t>09/09/2026</t>
        </is>
      </c>
      <c r="B161" s="31" t="inlineStr">
        <is>
          <t>Miércoles</t>
        </is>
      </c>
      <c r="C161" s="31" t="inlineStr">
        <is>
          <t>Sucursal Central</t>
        </is>
      </c>
      <c r="D161" s="31" t="n">
        <v>68</v>
      </c>
      <c r="E161" s="31" t="inlineStr">
        <is>
          <t>Pan Dulce</t>
        </is>
      </c>
      <c r="F161" s="32" t="inlineStr">
        <is>
          <t>Campechana</t>
        </is>
      </c>
      <c r="G161" s="31" t="n">
        <v>20</v>
      </c>
      <c r="H161" s="33" t="n"/>
      <c r="I161" s="33">
        <f>IF(H161&gt;0, H161*G161, "")</f>
        <v/>
      </c>
      <c r="J161" s="33" t="n"/>
      <c r="K161" s="33" t="n">
        <v>0</v>
      </c>
      <c r="L161" s="34">
        <f>IF(I161&gt;0, MAX(0, I161-J161-K161), 0)</f>
        <v/>
      </c>
      <c r="M161" s="35" t="n">
        <v>1.25</v>
      </c>
      <c r="N161" s="36">
        <f>L161*M161</f>
        <v/>
      </c>
    </row>
    <row r="162" ht="19" customHeight="1">
      <c r="A162" s="31" t="inlineStr">
        <is>
          <t>09/09/2026</t>
        </is>
      </c>
      <c r="B162" s="31" t="inlineStr">
        <is>
          <t>Miércoles</t>
        </is>
      </c>
      <c r="C162" s="31" t="inlineStr">
        <is>
          <t>Sucursal Central</t>
        </is>
      </c>
      <c r="D162" s="31" t="n">
        <v>69</v>
      </c>
      <c r="E162" s="31" t="inlineStr">
        <is>
          <t>Pan Dulce</t>
        </is>
      </c>
      <c r="F162" s="32" t="inlineStr">
        <is>
          <t>Pasitas</t>
        </is>
      </c>
      <c r="G162" s="31" t="n">
        <v>30</v>
      </c>
      <c r="H162" s="33" t="n"/>
      <c r="I162" s="33">
        <f>IF(H162&gt;0, H162*G162, "")</f>
        <v/>
      </c>
      <c r="J162" s="33" t="n"/>
      <c r="K162" s="33" t="n">
        <v>0</v>
      </c>
      <c r="L162" s="34">
        <f>IF(I162&gt;0, MAX(0, I162-J162-K162), 0)</f>
        <v/>
      </c>
      <c r="M162" s="35" t="n">
        <v>0.75</v>
      </c>
      <c r="N162" s="36">
        <f>L162*M162</f>
        <v/>
      </c>
    </row>
    <row r="163" ht="19" customHeight="1">
      <c r="A163" s="31" t="inlineStr">
        <is>
          <t>09/09/2026</t>
        </is>
      </c>
      <c r="B163" s="31" t="inlineStr">
        <is>
          <t>Miércoles</t>
        </is>
      </c>
      <c r="C163" s="31" t="inlineStr">
        <is>
          <t>Sucursal Central</t>
        </is>
      </c>
      <c r="D163" s="31" t="n">
        <v>70</v>
      </c>
      <c r="E163" s="31" t="inlineStr">
        <is>
          <t>Reposteria</t>
        </is>
      </c>
      <c r="F163" s="32" t="inlineStr">
        <is>
          <t>Cortada de Fresa</t>
        </is>
      </c>
      <c r="G163" s="31" t="n">
        <v>14</v>
      </c>
      <c r="H163" s="33" t="n"/>
      <c r="I163" s="33">
        <f>IF(H163&gt;0, H163*G163, "")</f>
        <v/>
      </c>
      <c r="J163" s="33" t="n"/>
      <c r="K163" s="33" t="n">
        <v>0</v>
      </c>
      <c r="L163" s="34">
        <f>IF(I163&gt;0, MAX(0, I163-J163-K163), 0)</f>
        <v/>
      </c>
      <c r="M163" s="35" t="n">
        <v>2.5</v>
      </c>
      <c r="N163" s="36">
        <f>L163*M163</f>
        <v/>
      </c>
    </row>
    <row r="164" ht="19" customHeight="1">
      <c r="A164" s="31" t="inlineStr">
        <is>
          <t>09/09/2026</t>
        </is>
      </c>
      <c r="B164" s="31" t="inlineStr">
        <is>
          <t>Miércoles</t>
        </is>
      </c>
      <c r="C164" s="31" t="inlineStr">
        <is>
          <t>Sucursal Central</t>
        </is>
      </c>
      <c r="D164" s="31" t="n">
        <v>71</v>
      </c>
      <c r="E164" s="31" t="inlineStr">
        <is>
          <t>Reposteria</t>
        </is>
      </c>
      <c r="F164" s="32" t="inlineStr">
        <is>
          <t>Cortada de Chocolate</t>
        </is>
      </c>
      <c r="G164" s="31" t="n">
        <v>14</v>
      </c>
      <c r="H164" s="33" t="n"/>
      <c r="I164" s="33">
        <f>IF(H164&gt;0, H164*G164, "")</f>
        <v/>
      </c>
      <c r="J164" s="33" t="n"/>
      <c r="K164" s="33" t="n">
        <v>0</v>
      </c>
      <c r="L164" s="34">
        <f>IF(I164&gt;0, MAX(0, I164-J164-K164), 0)</f>
        <v/>
      </c>
      <c r="M164" s="35" t="n">
        <v>2.5</v>
      </c>
      <c r="N164" s="36">
        <f>L164*M164</f>
        <v/>
      </c>
    </row>
    <row r="165" ht="19" customHeight="1">
      <c r="A165" s="37" t="inlineStr">
        <is>
          <t>10/09/2026</t>
        </is>
      </c>
      <c r="B165" s="37" t="inlineStr">
        <is>
          <t>Jueves</t>
        </is>
      </c>
      <c r="C165" s="37" t="inlineStr">
        <is>
          <t>Sucursal Central</t>
        </is>
      </c>
      <c r="D165" s="37" t="n">
        <v>54</v>
      </c>
      <c r="E165" s="37" t="inlineStr">
        <is>
          <t>Pan</t>
        </is>
      </c>
      <c r="F165" s="38" t="inlineStr">
        <is>
          <t>Pan Francés Tradicional</t>
        </is>
      </c>
      <c r="G165" s="37" t="n">
        <v>36</v>
      </c>
      <c r="H165" s="39" t="n"/>
      <c r="I165" s="39">
        <f>IF(H165&gt;0, H165*G165, "")</f>
        <v/>
      </c>
      <c r="J165" s="39" t="n"/>
      <c r="K165" s="39" t="n">
        <v>0</v>
      </c>
      <c r="L165" s="40">
        <f>IF(I165&gt;0, MAX(0, I165-J165-K165), 0)</f>
        <v/>
      </c>
      <c r="M165" s="41" t="n">
        <v>0.5</v>
      </c>
      <c r="N165" s="42">
        <f>L165*M165</f>
        <v/>
      </c>
    </row>
    <row r="166" ht="19" customHeight="1">
      <c r="A166" s="37" t="inlineStr">
        <is>
          <t>10/09/2026</t>
        </is>
      </c>
      <c r="B166" s="37" t="inlineStr">
        <is>
          <t>Jueves</t>
        </is>
      </c>
      <c r="C166" s="37" t="inlineStr">
        <is>
          <t>Sucursal Central</t>
        </is>
      </c>
      <c r="D166" s="37" t="n">
        <v>55</v>
      </c>
      <c r="E166" s="37" t="inlineStr">
        <is>
          <t>Pan Dulce</t>
        </is>
      </c>
      <c r="F166" s="38" t="inlineStr">
        <is>
          <t>Pan Dulce Pequeño</t>
        </is>
      </c>
      <c r="G166" s="37" t="n">
        <v>40</v>
      </c>
      <c r="H166" s="39" t="n"/>
      <c r="I166" s="39">
        <f>IF(H166&gt;0, H166*G166, "")</f>
        <v/>
      </c>
      <c r="J166" s="39" t="n"/>
      <c r="K166" s="39" t="n">
        <v>0</v>
      </c>
      <c r="L166" s="40">
        <f>IF(I166&gt;0, MAX(0, I166-J166-K166), 0)</f>
        <v/>
      </c>
      <c r="M166" s="41" t="n">
        <v>0.5</v>
      </c>
      <c r="N166" s="42">
        <f>L166*M166</f>
        <v/>
      </c>
    </row>
    <row r="167" ht="19" customHeight="1">
      <c r="A167" s="37" t="inlineStr">
        <is>
          <t>10/09/2026</t>
        </is>
      </c>
      <c r="B167" s="37" t="inlineStr">
        <is>
          <t>Jueves</t>
        </is>
      </c>
      <c r="C167" s="37" t="inlineStr">
        <is>
          <t>Sucursal Central</t>
        </is>
      </c>
      <c r="D167" s="37" t="n">
        <v>56</v>
      </c>
      <c r="E167" s="37" t="inlineStr">
        <is>
          <t>Pan Dulce</t>
        </is>
      </c>
      <c r="F167" s="38" t="inlineStr">
        <is>
          <t>Pan Dulce Grande</t>
        </is>
      </c>
      <c r="G167" s="37" t="n">
        <v>20</v>
      </c>
      <c r="H167" s="39" t="n"/>
      <c r="I167" s="39">
        <f>IF(H167&gt;0, H167*G167, "")</f>
        <v/>
      </c>
      <c r="J167" s="39" t="n"/>
      <c r="K167" s="39" t="n">
        <v>0</v>
      </c>
      <c r="L167" s="40">
        <f>IF(I167&gt;0, MAX(0, I167-J167-K167), 0)</f>
        <v/>
      </c>
      <c r="M167" s="41" t="n">
        <v>1.25</v>
      </c>
      <c r="N167" s="42">
        <f>L167*M167</f>
        <v/>
      </c>
    </row>
    <row r="168" ht="19" customHeight="1">
      <c r="A168" s="37" t="inlineStr">
        <is>
          <t>10/09/2026</t>
        </is>
      </c>
      <c r="B168" s="37" t="inlineStr">
        <is>
          <t>Jueves</t>
        </is>
      </c>
      <c r="C168" s="37" t="inlineStr">
        <is>
          <t>Sucursal Central</t>
        </is>
      </c>
      <c r="D168" s="37" t="n">
        <v>57</v>
      </c>
      <c r="E168" s="37" t="inlineStr">
        <is>
          <t>Galletas</t>
        </is>
      </c>
      <c r="F168" s="38" t="inlineStr">
        <is>
          <t>Pan Galleta</t>
        </is>
      </c>
      <c r="G168" s="37" t="n">
        <v>20</v>
      </c>
      <c r="H168" s="39" t="n"/>
      <c r="I168" s="39">
        <f>IF(H168&gt;0, H168*G168, "")</f>
        <v/>
      </c>
      <c r="J168" s="39" t="n"/>
      <c r="K168" s="39" t="n">
        <v>0</v>
      </c>
      <c r="L168" s="40">
        <f>IF(I168&gt;0, MAX(0, I168-J168-K168), 0)</f>
        <v/>
      </c>
      <c r="M168" s="41" t="n">
        <v>1.25</v>
      </c>
      <c r="N168" s="42">
        <f>L168*M168</f>
        <v/>
      </c>
    </row>
    <row r="169" ht="19" customHeight="1">
      <c r="A169" s="37" t="inlineStr">
        <is>
          <t>10/09/2026</t>
        </is>
      </c>
      <c r="B169" s="37" t="inlineStr">
        <is>
          <t>Jueves</t>
        </is>
      </c>
      <c r="C169" s="37" t="inlineStr">
        <is>
          <t>Sucursal Central</t>
        </is>
      </c>
      <c r="D169" s="37" t="n">
        <v>58</v>
      </c>
      <c r="E169" s="37" t="inlineStr">
        <is>
          <t>Galletas</t>
        </is>
      </c>
      <c r="F169" s="38" t="inlineStr">
        <is>
          <t>Champurrada Pequeña</t>
        </is>
      </c>
      <c r="G169" s="37" t="n">
        <v>24</v>
      </c>
      <c r="H169" s="39" t="n"/>
      <c r="I169" s="39">
        <f>IF(H169&gt;0, H169*G169, "")</f>
        <v/>
      </c>
      <c r="J169" s="39" t="n"/>
      <c r="K169" s="39" t="n">
        <v>0</v>
      </c>
      <c r="L169" s="40">
        <f>IF(I169&gt;0, MAX(0, I169-J169-K169), 0)</f>
        <v/>
      </c>
      <c r="M169" s="41" t="n">
        <v>0.5</v>
      </c>
      <c r="N169" s="42">
        <f>L169*M169</f>
        <v/>
      </c>
    </row>
    <row r="170" ht="19" customHeight="1">
      <c r="A170" s="37" t="inlineStr">
        <is>
          <t>10/09/2026</t>
        </is>
      </c>
      <c r="B170" s="37" t="inlineStr">
        <is>
          <t>Jueves</t>
        </is>
      </c>
      <c r="C170" s="37" t="inlineStr">
        <is>
          <t>Sucursal Central</t>
        </is>
      </c>
      <c r="D170" s="37" t="n">
        <v>59</v>
      </c>
      <c r="E170" s="37" t="inlineStr">
        <is>
          <t>Galletas</t>
        </is>
      </c>
      <c r="F170" s="38" t="inlineStr">
        <is>
          <t>Champurrada Grande</t>
        </is>
      </c>
      <c r="G170" s="37" t="n">
        <v>15</v>
      </c>
      <c r="H170" s="39" t="n"/>
      <c r="I170" s="39">
        <f>IF(H170&gt;0, H170*G170, "")</f>
        <v/>
      </c>
      <c r="J170" s="39" t="n"/>
      <c r="K170" s="39" t="n">
        <v>0</v>
      </c>
      <c r="L170" s="40">
        <f>IF(I170&gt;0, MAX(0, I170-J170-K170), 0)</f>
        <v/>
      </c>
      <c r="M170" s="41" t="n">
        <v>1.25</v>
      </c>
      <c r="N170" s="42">
        <f>L170*M170</f>
        <v/>
      </c>
    </row>
    <row r="171" ht="19" customHeight="1">
      <c r="A171" s="37" t="inlineStr">
        <is>
          <t>10/09/2026</t>
        </is>
      </c>
      <c r="B171" s="37" t="inlineStr">
        <is>
          <t>Jueves</t>
        </is>
      </c>
      <c r="C171" s="37" t="inlineStr">
        <is>
          <t>Sucursal Central</t>
        </is>
      </c>
      <c r="D171" s="37" t="n">
        <v>60</v>
      </c>
      <c r="E171" s="37" t="inlineStr">
        <is>
          <t>Reposteria</t>
        </is>
      </c>
      <c r="F171" s="38" t="inlineStr">
        <is>
          <t>Cubilete de Vainilla</t>
        </is>
      </c>
      <c r="G171" s="37" t="n">
        <v>30</v>
      </c>
      <c r="H171" s="39" t="n"/>
      <c r="I171" s="39">
        <f>IF(H171&gt;0, H171*G171, "")</f>
        <v/>
      </c>
      <c r="J171" s="39" t="n"/>
      <c r="K171" s="39" t="n">
        <v>0</v>
      </c>
      <c r="L171" s="40">
        <f>IF(I171&gt;0, MAX(0, I171-J171-K171), 0)</f>
        <v/>
      </c>
      <c r="M171" s="41" t="n">
        <v>2</v>
      </c>
      <c r="N171" s="42">
        <f>L171*M171</f>
        <v/>
      </c>
    </row>
    <row r="172" ht="19" customHeight="1">
      <c r="A172" s="37" t="inlineStr">
        <is>
          <t>10/09/2026</t>
        </is>
      </c>
      <c r="B172" s="37" t="inlineStr">
        <is>
          <t>Jueves</t>
        </is>
      </c>
      <c r="C172" s="37" t="inlineStr">
        <is>
          <t>Sucursal Central</t>
        </is>
      </c>
      <c r="D172" s="37" t="n">
        <v>61</v>
      </c>
      <c r="E172" s="37" t="inlineStr">
        <is>
          <t>Reposteria</t>
        </is>
      </c>
      <c r="F172" s="38" t="inlineStr">
        <is>
          <t>Cubilete de Banano</t>
        </is>
      </c>
      <c r="G172" s="37" t="n">
        <v>30</v>
      </c>
      <c r="H172" s="39" t="n"/>
      <c r="I172" s="39">
        <f>IF(H172&gt;0, H172*G172, "")</f>
        <v/>
      </c>
      <c r="J172" s="39" t="n"/>
      <c r="K172" s="39" t="n">
        <v>0</v>
      </c>
      <c r="L172" s="40">
        <f>IF(I172&gt;0, MAX(0, I172-J172-K172), 0)</f>
        <v/>
      </c>
      <c r="M172" s="41" t="n">
        <v>2</v>
      </c>
      <c r="N172" s="42">
        <f>L172*M172</f>
        <v/>
      </c>
    </row>
    <row r="173" ht="19" customHeight="1">
      <c r="A173" s="37" t="inlineStr">
        <is>
          <t>10/09/2026</t>
        </is>
      </c>
      <c r="B173" s="37" t="inlineStr">
        <is>
          <t>Jueves</t>
        </is>
      </c>
      <c r="C173" s="37" t="inlineStr">
        <is>
          <t>Sucursal Central</t>
        </is>
      </c>
      <c r="D173" s="37" t="n">
        <v>62</v>
      </c>
      <c r="E173" s="37" t="inlineStr">
        <is>
          <t>Reposteria</t>
        </is>
      </c>
      <c r="F173" s="38" t="inlineStr">
        <is>
          <t>Empanada de Piña</t>
        </is>
      </c>
      <c r="G173" s="37" t="n">
        <v>16</v>
      </c>
      <c r="H173" s="39" t="n"/>
      <c r="I173" s="39">
        <f>IF(H173&gt;0, H173*G173, "")</f>
        <v/>
      </c>
      <c r="J173" s="39" t="n"/>
      <c r="K173" s="39" t="n">
        <v>0</v>
      </c>
      <c r="L173" s="40">
        <f>IF(I173&gt;0, MAX(0, I173-J173-K173), 0)</f>
        <v/>
      </c>
      <c r="M173" s="41" t="n">
        <v>2.5</v>
      </c>
      <c r="N173" s="42">
        <f>L173*M173</f>
        <v/>
      </c>
    </row>
    <row r="174" ht="19" customHeight="1">
      <c r="A174" s="37" t="inlineStr">
        <is>
          <t>10/09/2026</t>
        </is>
      </c>
      <c r="B174" s="37" t="inlineStr">
        <is>
          <t>Jueves</t>
        </is>
      </c>
      <c r="C174" s="37" t="inlineStr">
        <is>
          <t>Sucursal Central</t>
        </is>
      </c>
      <c r="D174" s="37" t="n">
        <v>63</v>
      </c>
      <c r="E174" s="37" t="inlineStr">
        <is>
          <t>Reposteria</t>
        </is>
      </c>
      <c r="F174" s="38" t="inlineStr">
        <is>
          <t>Empanada de Manjar</t>
        </is>
      </c>
      <c r="G174" s="37" t="n">
        <v>16</v>
      </c>
      <c r="H174" s="39" t="n"/>
      <c r="I174" s="39">
        <f>IF(H174&gt;0, H174*G174, "")</f>
        <v/>
      </c>
      <c r="J174" s="39" t="n"/>
      <c r="K174" s="39" t="n">
        <v>0</v>
      </c>
      <c r="L174" s="40">
        <f>IF(I174&gt;0, MAX(0, I174-J174-K174), 0)</f>
        <v/>
      </c>
      <c r="M174" s="41" t="n">
        <v>2.5</v>
      </c>
      <c r="N174" s="42">
        <f>L174*M174</f>
        <v/>
      </c>
    </row>
    <row r="175" ht="19" customHeight="1">
      <c r="A175" s="37" t="inlineStr">
        <is>
          <t>10/09/2026</t>
        </is>
      </c>
      <c r="B175" s="37" t="inlineStr">
        <is>
          <t>Jueves</t>
        </is>
      </c>
      <c r="C175" s="37" t="inlineStr">
        <is>
          <t>Sucursal Central</t>
        </is>
      </c>
      <c r="D175" s="37" t="n">
        <v>64</v>
      </c>
      <c r="E175" s="37" t="inlineStr">
        <is>
          <t>Galletas</t>
        </is>
      </c>
      <c r="F175" s="38" t="inlineStr">
        <is>
          <t>Polvorosa Tradicional</t>
        </is>
      </c>
      <c r="G175" s="37" t="n">
        <v>15</v>
      </c>
      <c r="H175" s="39" t="n"/>
      <c r="I175" s="39">
        <f>IF(H175&gt;0, H175*G175, "")</f>
        <v/>
      </c>
      <c r="J175" s="39" t="n"/>
      <c r="K175" s="39" t="n">
        <v>0</v>
      </c>
      <c r="L175" s="40">
        <f>IF(I175&gt;0, MAX(0, I175-J175-K175), 0)</f>
        <v/>
      </c>
      <c r="M175" s="41" t="n">
        <v>1.25</v>
      </c>
      <c r="N175" s="42">
        <f>L175*M175</f>
        <v/>
      </c>
    </row>
    <row r="176" ht="19" customHeight="1">
      <c r="A176" s="37" t="inlineStr">
        <is>
          <t>10/09/2026</t>
        </is>
      </c>
      <c r="B176" s="37" t="inlineStr">
        <is>
          <t>Jueves</t>
        </is>
      </c>
      <c r="C176" s="37" t="inlineStr">
        <is>
          <t>Sucursal Central</t>
        </is>
      </c>
      <c r="D176" s="37" t="n">
        <v>65</v>
      </c>
      <c r="E176" s="37" t="inlineStr">
        <is>
          <t>Donas</t>
        </is>
      </c>
      <c r="F176" s="38" t="inlineStr">
        <is>
          <t>Dona Simple Glaseada</t>
        </is>
      </c>
      <c r="G176" s="37" t="n">
        <v>24</v>
      </c>
      <c r="H176" s="39" t="n"/>
      <c r="I176" s="39">
        <f>IF(H176&gt;0, H176*G176, "")</f>
        <v/>
      </c>
      <c r="J176" s="39" t="n"/>
      <c r="K176" s="39" t="n">
        <v>0</v>
      </c>
      <c r="L176" s="40">
        <f>IF(I176&gt;0, MAX(0, I176-J176-K176), 0)</f>
        <v/>
      </c>
      <c r="M176" s="41" t="n">
        <v>2.5</v>
      </c>
      <c r="N176" s="42">
        <f>L176*M176</f>
        <v/>
      </c>
    </row>
    <row r="177" ht="19" customHeight="1">
      <c r="A177" s="37" t="inlineStr">
        <is>
          <t>10/09/2026</t>
        </is>
      </c>
      <c r="B177" s="37" t="inlineStr">
        <is>
          <t>Jueves</t>
        </is>
      </c>
      <c r="C177" s="37" t="inlineStr">
        <is>
          <t>Sucursal Central</t>
        </is>
      </c>
      <c r="D177" s="37" t="n">
        <v>66</v>
      </c>
      <c r="E177" s="37" t="inlineStr">
        <is>
          <t>Donas</t>
        </is>
      </c>
      <c r="F177" s="38" t="inlineStr">
        <is>
          <t>Dona Rellena de Manjar</t>
        </is>
      </c>
      <c r="G177" s="37" t="n">
        <v>24</v>
      </c>
      <c r="H177" s="39" t="n"/>
      <c r="I177" s="39">
        <f>IF(H177&gt;0, H177*G177, "")</f>
        <v/>
      </c>
      <c r="J177" s="39" t="n"/>
      <c r="K177" s="39" t="n">
        <v>0</v>
      </c>
      <c r="L177" s="40">
        <f>IF(I177&gt;0, MAX(0, I177-J177-K177), 0)</f>
        <v/>
      </c>
      <c r="M177" s="41" t="n">
        <v>4</v>
      </c>
      <c r="N177" s="42">
        <f>L177*M177</f>
        <v/>
      </c>
    </row>
    <row r="178" ht="19" customHeight="1">
      <c r="A178" s="37" t="inlineStr">
        <is>
          <t>10/09/2026</t>
        </is>
      </c>
      <c r="B178" s="37" t="inlineStr">
        <is>
          <t>Jueves</t>
        </is>
      </c>
      <c r="C178" s="37" t="inlineStr">
        <is>
          <t>Sucursal Central</t>
        </is>
      </c>
      <c r="D178" s="37" t="n">
        <v>67</v>
      </c>
      <c r="E178" s="37" t="inlineStr">
        <is>
          <t>Donas</t>
        </is>
      </c>
      <c r="F178" s="38" t="inlineStr">
        <is>
          <t>Dona Rellena de Fresa</t>
        </is>
      </c>
      <c r="G178" s="37" t="n">
        <v>24</v>
      </c>
      <c r="H178" s="39" t="n"/>
      <c r="I178" s="39">
        <f>IF(H178&gt;0, H178*G178, "")</f>
        <v/>
      </c>
      <c r="J178" s="39" t="n"/>
      <c r="K178" s="39" t="n">
        <v>0</v>
      </c>
      <c r="L178" s="40">
        <f>IF(I178&gt;0, MAX(0, I178-J178-K178), 0)</f>
        <v/>
      </c>
      <c r="M178" s="41" t="n">
        <v>4</v>
      </c>
      <c r="N178" s="42">
        <f>L178*M178</f>
        <v/>
      </c>
    </row>
    <row r="179" ht="19" customHeight="1">
      <c r="A179" s="37" t="inlineStr">
        <is>
          <t>10/09/2026</t>
        </is>
      </c>
      <c r="B179" s="37" t="inlineStr">
        <is>
          <t>Jueves</t>
        </is>
      </c>
      <c r="C179" s="37" t="inlineStr">
        <is>
          <t>Sucursal Central</t>
        </is>
      </c>
      <c r="D179" s="37" t="n">
        <v>68</v>
      </c>
      <c r="E179" s="37" t="inlineStr">
        <is>
          <t>Pan Dulce</t>
        </is>
      </c>
      <c r="F179" s="38" t="inlineStr">
        <is>
          <t>Campechana</t>
        </is>
      </c>
      <c r="G179" s="37" t="n">
        <v>20</v>
      </c>
      <c r="H179" s="39" t="n"/>
      <c r="I179" s="39">
        <f>IF(H179&gt;0, H179*G179, "")</f>
        <v/>
      </c>
      <c r="J179" s="39" t="n"/>
      <c r="K179" s="39" t="n">
        <v>0</v>
      </c>
      <c r="L179" s="40">
        <f>IF(I179&gt;0, MAX(0, I179-J179-K179), 0)</f>
        <v/>
      </c>
      <c r="M179" s="41" t="n">
        <v>1.25</v>
      </c>
      <c r="N179" s="42">
        <f>L179*M179</f>
        <v/>
      </c>
    </row>
    <row r="180" ht="19" customHeight="1">
      <c r="A180" s="37" t="inlineStr">
        <is>
          <t>10/09/2026</t>
        </is>
      </c>
      <c r="B180" s="37" t="inlineStr">
        <is>
          <t>Jueves</t>
        </is>
      </c>
      <c r="C180" s="37" t="inlineStr">
        <is>
          <t>Sucursal Central</t>
        </is>
      </c>
      <c r="D180" s="37" t="n">
        <v>69</v>
      </c>
      <c r="E180" s="37" t="inlineStr">
        <is>
          <t>Pan Dulce</t>
        </is>
      </c>
      <c r="F180" s="38" t="inlineStr">
        <is>
          <t>Pasitas</t>
        </is>
      </c>
      <c r="G180" s="37" t="n">
        <v>30</v>
      </c>
      <c r="H180" s="39" t="n"/>
      <c r="I180" s="39">
        <f>IF(H180&gt;0, H180*G180, "")</f>
        <v/>
      </c>
      <c r="J180" s="39" t="n"/>
      <c r="K180" s="39" t="n">
        <v>0</v>
      </c>
      <c r="L180" s="40">
        <f>IF(I180&gt;0, MAX(0, I180-J180-K180), 0)</f>
        <v/>
      </c>
      <c r="M180" s="41" t="n">
        <v>0.75</v>
      </c>
      <c r="N180" s="42">
        <f>L180*M180</f>
        <v/>
      </c>
    </row>
    <row r="181" ht="19" customHeight="1">
      <c r="A181" s="37" t="inlineStr">
        <is>
          <t>10/09/2026</t>
        </is>
      </c>
      <c r="B181" s="37" t="inlineStr">
        <is>
          <t>Jueves</t>
        </is>
      </c>
      <c r="C181" s="37" t="inlineStr">
        <is>
          <t>Sucursal Central</t>
        </is>
      </c>
      <c r="D181" s="37" t="n">
        <v>70</v>
      </c>
      <c r="E181" s="37" t="inlineStr">
        <is>
          <t>Reposteria</t>
        </is>
      </c>
      <c r="F181" s="38" t="inlineStr">
        <is>
          <t>Cortada de Fresa</t>
        </is>
      </c>
      <c r="G181" s="37" t="n">
        <v>14</v>
      </c>
      <c r="H181" s="39" t="n"/>
      <c r="I181" s="39">
        <f>IF(H181&gt;0, H181*G181, "")</f>
        <v/>
      </c>
      <c r="J181" s="39" t="n"/>
      <c r="K181" s="39" t="n">
        <v>0</v>
      </c>
      <c r="L181" s="40">
        <f>IF(I181&gt;0, MAX(0, I181-J181-K181), 0)</f>
        <v/>
      </c>
      <c r="M181" s="41" t="n">
        <v>2.5</v>
      </c>
      <c r="N181" s="42">
        <f>L181*M181</f>
        <v/>
      </c>
    </row>
    <row r="182" ht="19" customHeight="1">
      <c r="A182" s="37" t="inlineStr">
        <is>
          <t>10/09/2026</t>
        </is>
      </c>
      <c r="B182" s="37" t="inlineStr">
        <is>
          <t>Jueves</t>
        </is>
      </c>
      <c r="C182" s="37" t="inlineStr">
        <is>
          <t>Sucursal Central</t>
        </is>
      </c>
      <c r="D182" s="37" t="n">
        <v>71</v>
      </c>
      <c r="E182" s="37" t="inlineStr">
        <is>
          <t>Reposteria</t>
        </is>
      </c>
      <c r="F182" s="38" t="inlineStr">
        <is>
          <t>Cortada de Chocolate</t>
        </is>
      </c>
      <c r="G182" s="37" t="n">
        <v>14</v>
      </c>
      <c r="H182" s="39" t="n"/>
      <c r="I182" s="39">
        <f>IF(H182&gt;0, H182*G182, "")</f>
        <v/>
      </c>
      <c r="J182" s="39" t="n"/>
      <c r="K182" s="39" t="n">
        <v>0</v>
      </c>
      <c r="L182" s="40">
        <f>IF(I182&gt;0, MAX(0, I182-J182-K182), 0)</f>
        <v/>
      </c>
      <c r="M182" s="41" t="n">
        <v>2.5</v>
      </c>
      <c r="N182" s="42">
        <f>L182*M182</f>
        <v/>
      </c>
    </row>
    <row r="183" ht="19" customHeight="1">
      <c r="A183" s="31" t="inlineStr">
        <is>
          <t>11/09/2026</t>
        </is>
      </c>
      <c r="B183" s="31" t="inlineStr">
        <is>
          <t>Viernes</t>
        </is>
      </c>
      <c r="C183" s="31" t="inlineStr">
        <is>
          <t>Sucursal Central</t>
        </is>
      </c>
      <c r="D183" s="31" t="n">
        <v>54</v>
      </c>
      <c r="E183" s="31" t="inlineStr">
        <is>
          <t>Pan</t>
        </is>
      </c>
      <c r="F183" s="32" t="inlineStr">
        <is>
          <t>Pan Francés Tradicional</t>
        </is>
      </c>
      <c r="G183" s="31" t="n">
        <v>36</v>
      </c>
      <c r="H183" s="33" t="n"/>
      <c r="I183" s="33">
        <f>IF(H183&gt;0, H183*G183, "")</f>
        <v/>
      </c>
      <c r="J183" s="33" t="n"/>
      <c r="K183" s="33" t="n">
        <v>0</v>
      </c>
      <c r="L183" s="34">
        <f>IF(I183&gt;0, MAX(0, I183-J183-K183), 0)</f>
        <v/>
      </c>
      <c r="M183" s="35" t="n">
        <v>0.5</v>
      </c>
      <c r="N183" s="36">
        <f>L183*M183</f>
        <v/>
      </c>
    </row>
    <row r="184" ht="19" customHeight="1">
      <c r="A184" s="31" t="inlineStr">
        <is>
          <t>11/09/2026</t>
        </is>
      </c>
      <c r="B184" s="31" t="inlineStr">
        <is>
          <t>Viernes</t>
        </is>
      </c>
      <c r="C184" s="31" t="inlineStr">
        <is>
          <t>Sucursal Central</t>
        </is>
      </c>
      <c r="D184" s="31" t="n">
        <v>55</v>
      </c>
      <c r="E184" s="31" t="inlineStr">
        <is>
          <t>Pan Dulce</t>
        </is>
      </c>
      <c r="F184" s="32" t="inlineStr">
        <is>
          <t>Pan Dulce Pequeño</t>
        </is>
      </c>
      <c r="G184" s="31" t="n">
        <v>40</v>
      </c>
      <c r="H184" s="33" t="n"/>
      <c r="I184" s="33">
        <f>IF(H184&gt;0, H184*G184, "")</f>
        <v/>
      </c>
      <c r="J184" s="33" t="n"/>
      <c r="K184" s="33" t="n">
        <v>0</v>
      </c>
      <c r="L184" s="34">
        <f>IF(I184&gt;0, MAX(0, I184-J184-K184), 0)</f>
        <v/>
      </c>
      <c r="M184" s="35" t="n">
        <v>0.5</v>
      </c>
      <c r="N184" s="36">
        <f>L184*M184</f>
        <v/>
      </c>
    </row>
    <row r="185" ht="19" customHeight="1">
      <c r="A185" s="31" t="inlineStr">
        <is>
          <t>11/09/2026</t>
        </is>
      </c>
      <c r="B185" s="31" t="inlineStr">
        <is>
          <t>Viernes</t>
        </is>
      </c>
      <c r="C185" s="31" t="inlineStr">
        <is>
          <t>Sucursal Central</t>
        </is>
      </c>
      <c r="D185" s="31" t="n">
        <v>56</v>
      </c>
      <c r="E185" s="31" t="inlineStr">
        <is>
          <t>Pan Dulce</t>
        </is>
      </c>
      <c r="F185" s="32" t="inlineStr">
        <is>
          <t>Pan Dulce Grande</t>
        </is>
      </c>
      <c r="G185" s="31" t="n">
        <v>20</v>
      </c>
      <c r="H185" s="33" t="n"/>
      <c r="I185" s="33">
        <f>IF(H185&gt;0, H185*G185, "")</f>
        <v/>
      </c>
      <c r="J185" s="33" t="n"/>
      <c r="K185" s="33" t="n">
        <v>0</v>
      </c>
      <c r="L185" s="34">
        <f>IF(I185&gt;0, MAX(0, I185-J185-K185), 0)</f>
        <v/>
      </c>
      <c r="M185" s="35" t="n">
        <v>1.25</v>
      </c>
      <c r="N185" s="36">
        <f>L185*M185</f>
        <v/>
      </c>
    </row>
    <row r="186" ht="19" customHeight="1">
      <c r="A186" s="31" t="inlineStr">
        <is>
          <t>11/09/2026</t>
        </is>
      </c>
      <c r="B186" s="31" t="inlineStr">
        <is>
          <t>Viernes</t>
        </is>
      </c>
      <c r="C186" s="31" t="inlineStr">
        <is>
          <t>Sucursal Central</t>
        </is>
      </c>
      <c r="D186" s="31" t="n">
        <v>57</v>
      </c>
      <c r="E186" s="31" t="inlineStr">
        <is>
          <t>Galletas</t>
        </is>
      </c>
      <c r="F186" s="32" t="inlineStr">
        <is>
          <t>Pan Galleta</t>
        </is>
      </c>
      <c r="G186" s="31" t="n">
        <v>20</v>
      </c>
      <c r="H186" s="33" t="n"/>
      <c r="I186" s="33">
        <f>IF(H186&gt;0, H186*G186, "")</f>
        <v/>
      </c>
      <c r="J186" s="33" t="n"/>
      <c r="K186" s="33" t="n">
        <v>0</v>
      </c>
      <c r="L186" s="34">
        <f>IF(I186&gt;0, MAX(0, I186-J186-K186), 0)</f>
        <v/>
      </c>
      <c r="M186" s="35" t="n">
        <v>1.25</v>
      </c>
      <c r="N186" s="36">
        <f>L186*M186</f>
        <v/>
      </c>
    </row>
    <row r="187" ht="19" customHeight="1">
      <c r="A187" s="31" t="inlineStr">
        <is>
          <t>11/09/2026</t>
        </is>
      </c>
      <c r="B187" s="31" t="inlineStr">
        <is>
          <t>Viernes</t>
        </is>
      </c>
      <c r="C187" s="31" t="inlineStr">
        <is>
          <t>Sucursal Central</t>
        </is>
      </c>
      <c r="D187" s="31" t="n">
        <v>58</v>
      </c>
      <c r="E187" s="31" t="inlineStr">
        <is>
          <t>Galletas</t>
        </is>
      </c>
      <c r="F187" s="32" t="inlineStr">
        <is>
          <t>Champurrada Pequeña</t>
        </is>
      </c>
      <c r="G187" s="31" t="n">
        <v>24</v>
      </c>
      <c r="H187" s="33" t="n"/>
      <c r="I187" s="33">
        <f>IF(H187&gt;0, H187*G187, "")</f>
        <v/>
      </c>
      <c r="J187" s="33" t="n"/>
      <c r="K187" s="33" t="n">
        <v>0</v>
      </c>
      <c r="L187" s="34">
        <f>IF(I187&gt;0, MAX(0, I187-J187-K187), 0)</f>
        <v/>
      </c>
      <c r="M187" s="35" t="n">
        <v>0.5</v>
      </c>
      <c r="N187" s="36">
        <f>L187*M187</f>
        <v/>
      </c>
    </row>
    <row r="188" ht="19" customHeight="1">
      <c r="A188" s="31" t="inlineStr">
        <is>
          <t>11/09/2026</t>
        </is>
      </c>
      <c r="B188" s="31" t="inlineStr">
        <is>
          <t>Viernes</t>
        </is>
      </c>
      <c r="C188" s="31" t="inlineStr">
        <is>
          <t>Sucursal Central</t>
        </is>
      </c>
      <c r="D188" s="31" t="n">
        <v>59</v>
      </c>
      <c r="E188" s="31" t="inlineStr">
        <is>
          <t>Galletas</t>
        </is>
      </c>
      <c r="F188" s="32" t="inlineStr">
        <is>
          <t>Champurrada Grande</t>
        </is>
      </c>
      <c r="G188" s="31" t="n">
        <v>15</v>
      </c>
      <c r="H188" s="33" t="n"/>
      <c r="I188" s="33">
        <f>IF(H188&gt;0, H188*G188, "")</f>
        <v/>
      </c>
      <c r="J188" s="33" t="n"/>
      <c r="K188" s="33" t="n">
        <v>0</v>
      </c>
      <c r="L188" s="34">
        <f>IF(I188&gt;0, MAX(0, I188-J188-K188), 0)</f>
        <v/>
      </c>
      <c r="M188" s="35" t="n">
        <v>1.25</v>
      </c>
      <c r="N188" s="36">
        <f>L188*M188</f>
        <v/>
      </c>
    </row>
    <row r="189" ht="19" customHeight="1">
      <c r="A189" s="31" t="inlineStr">
        <is>
          <t>11/09/2026</t>
        </is>
      </c>
      <c r="B189" s="31" t="inlineStr">
        <is>
          <t>Viernes</t>
        </is>
      </c>
      <c r="C189" s="31" t="inlineStr">
        <is>
          <t>Sucursal Central</t>
        </is>
      </c>
      <c r="D189" s="31" t="n">
        <v>60</v>
      </c>
      <c r="E189" s="31" t="inlineStr">
        <is>
          <t>Reposteria</t>
        </is>
      </c>
      <c r="F189" s="32" t="inlineStr">
        <is>
          <t>Cubilete de Vainilla</t>
        </is>
      </c>
      <c r="G189" s="31" t="n">
        <v>30</v>
      </c>
      <c r="H189" s="33" t="n"/>
      <c r="I189" s="33">
        <f>IF(H189&gt;0, H189*G189, "")</f>
        <v/>
      </c>
      <c r="J189" s="33" t="n"/>
      <c r="K189" s="33" t="n">
        <v>0</v>
      </c>
      <c r="L189" s="34">
        <f>IF(I189&gt;0, MAX(0, I189-J189-K189), 0)</f>
        <v/>
      </c>
      <c r="M189" s="35" t="n">
        <v>2</v>
      </c>
      <c r="N189" s="36">
        <f>L189*M189</f>
        <v/>
      </c>
    </row>
    <row r="190" ht="19" customHeight="1">
      <c r="A190" s="31" t="inlineStr">
        <is>
          <t>11/09/2026</t>
        </is>
      </c>
      <c r="B190" s="31" t="inlineStr">
        <is>
          <t>Viernes</t>
        </is>
      </c>
      <c r="C190" s="31" t="inlineStr">
        <is>
          <t>Sucursal Central</t>
        </is>
      </c>
      <c r="D190" s="31" t="n">
        <v>61</v>
      </c>
      <c r="E190" s="31" t="inlineStr">
        <is>
          <t>Reposteria</t>
        </is>
      </c>
      <c r="F190" s="32" t="inlineStr">
        <is>
          <t>Cubilete de Banano</t>
        </is>
      </c>
      <c r="G190" s="31" t="n">
        <v>30</v>
      </c>
      <c r="H190" s="33" t="n"/>
      <c r="I190" s="33">
        <f>IF(H190&gt;0, H190*G190, "")</f>
        <v/>
      </c>
      <c r="J190" s="33" t="n"/>
      <c r="K190" s="33" t="n">
        <v>0</v>
      </c>
      <c r="L190" s="34">
        <f>IF(I190&gt;0, MAX(0, I190-J190-K190), 0)</f>
        <v/>
      </c>
      <c r="M190" s="35" t="n">
        <v>2</v>
      </c>
      <c r="N190" s="36">
        <f>L190*M190</f>
        <v/>
      </c>
    </row>
    <row r="191" ht="19" customHeight="1">
      <c r="A191" s="31" t="inlineStr">
        <is>
          <t>11/09/2026</t>
        </is>
      </c>
      <c r="B191" s="31" t="inlineStr">
        <is>
          <t>Viernes</t>
        </is>
      </c>
      <c r="C191" s="31" t="inlineStr">
        <is>
          <t>Sucursal Central</t>
        </is>
      </c>
      <c r="D191" s="31" t="n">
        <v>62</v>
      </c>
      <c r="E191" s="31" t="inlineStr">
        <is>
          <t>Reposteria</t>
        </is>
      </c>
      <c r="F191" s="32" t="inlineStr">
        <is>
          <t>Empanada de Piña</t>
        </is>
      </c>
      <c r="G191" s="31" t="n">
        <v>16</v>
      </c>
      <c r="H191" s="33" t="n"/>
      <c r="I191" s="33">
        <f>IF(H191&gt;0, H191*G191, "")</f>
        <v/>
      </c>
      <c r="J191" s="33" t="n"/>
      <c r="K191" s="33" t="n">
        <v>0</v>
      </c>
      <c r="L191" s="34">
        <f>IF(I191&gt;0, MAX(0, I191-J191-K191), 0)</f>
        <v/>
      </c>
      <c r="M191" s="35" t="n">
        <v>2.5</v>
      </c>
      <c r="N191" s="36">
        <f>L191*M191</f>
        <v/>
      </c>
    </row>
    <row r="192" ht="19" customHeight="1">
      <c r="A192" s="31" t="inlineStr">
        <is>
          <t>11/09/2026</t>
        </is>
      </c>
      <c r="B192" s="31" t="inlineStr">
        <is>
          <t>Viernes</t>
        </is>
      </c>
      <c r="C192" s="31" t="inlineStr">
        <is>
          <t>Sucursal Central</t>
        </is>
      </c>
      <c r="D192" s="31" t="n">
        <v>63</v>
      </c>
      <c r="E192" s="31" t="inlineStr">
        <is>
          <t>Reposteria</t>
        </is>
      </c>
      <c r="F192" s="32" t="inlineStr">
        <is>
          <t>Empanada de Manjar</t>
        </is>
      </c>
      <c r="G192" s="31" t="n">
        <v>16</v>
      </c>
      <c r="H192" s="33" t="n"/>
      <c r="I192" s="33">
        <f>IF(H192&gt;0, H192*G192, "")</f>
        <v/>
      </c>
      <c r="J192" s="33" t="n"/>
      <c r="K192" s="33" t="n">
        <v>0</v>
      </c>
      <c r="L192" s="34">
        <f>IF(I192&gt;0, MAX(0, I192-J192-K192), 0)</f>
        <v/>
      </c>
      <c r="M192" s="35" t="n">
        <v>2.5</v>
      </c>
      <c r="N192" s="36">
        <f>L192*M192</f>
        <v/>
      </c>
    </row>
    <row r="193" ht="19" customHeight="1">
      <c r="A193" s="31" t="inlineStr">
        <is>
          <t>11/09/2026</t>
        </is>
      </c>
      <c r="B193" s="31" t="inlineStr">
        <is>
          <t>Viernes</t>
        </is>
      </c>
      <c r="C193" s="31" t="inlineStr">
        <is>
          <t>Sucursal Central</t>
        </is>
      </c>
      <c r="D193" s="31" t="n">
        <v>64</v>
      </c>
      <c r="E193" s="31" t="inlineStr">
        <is>
          <t>Galletas</t>
        </is>
      </c>
      <c r="F193" s="32" t="inlineStr">
        <is>
          <t>Polvorosa Tradicional</t>
        </is>
      </c>
      <c r="G193" s="31" t="n">
        <v>15</v>
      </c>
      <c r="H193" s="33" t="n"/>
      <c r="I193" s="33">
        <f>IF(H193&gt;0, H193*G193, "")</f>
        <v/>
      </c>
      <c r="J193" s="33" t="n"/>
      <c r="K193" s="33" t="n">
        <v>0</v>
      </c>
      <c r="L193" s="34">
        <f>IF(I193&gt;0, MAX(0, I193-J193-K193), 0)</f>
        <v/>
      </c>
      <c r="M193" s="35" t="n">
        <v>1.25</v>
      </c>
      <c r="N193" s="36">
        <f>L193*M193</f>
        <v/>
      </c>
    </row>
    <row r="194" ht="19" customHeight="1">
      <c r="A194" s="31" t="inlineStr">
        <is>
          <t>11/09/2026</t>
        </is>
      </c>
      <c r="B194" s="31" t="inlineStr">
        <is>
          <t>Viernes</t>
        </is>
      </c>
      <c r="C194" s="31" t="inlineStr">
        <is>
          <t>Sucursal Central</t>
        </is>
      </c>
      <c r="D194" s="31" t="n">
        <v>65</v>
      </c>
      <c r="E194" s="31" t="inlineStr">
        <is>
          <t>Donas</t>
        </is>
      </c>
      <c r="F194" s="32" t="inlineStr">
        <is>
          <t>Dona Simple Glaseada</t>
        </is>
      </c>
      <c r="G194" s="31" t="n">
        <v>24</v>
      </c>
      <c r="H194" s="33" t="n"/>
      <c r="I194" s="33">
        <f>IF(H194&gt;0, H194*G194, "")</f>
        <v/>
      </c>
      <c r="J194" s="33" t="n"/>
      <c r="K194" s="33" t="n">
        <v>0</v>
      </c>
      <c r="L194" s="34">
        <f>IF(I194&gt;0, MAX(0, I194-J194-K194), 0)</f>
        <v/>
      </c>
      <c r="M194" s="35" t="n">
        <v>2.5</v>
      </c>
      <c r="N194" s="36">
        <f>L194*M194</f>
        <v/>
      </c>
    </row>
    <row r="195" ht="19" customHeight="1">
      <c r="A195" s="31" t="inlineStr">
        <is>
          <t>11/09/2026</t>
        </is>
      </c>
      <c r="B195" s="31" t="inlineStr">
        <is>
          <t>Viernes</t>
        </is>
      </c>
      <c r="C195" s="31" t="inlineStr">
        <is>
          <t>Sucursal Central</t>
        </is>
      </c>
      <c r="D195" s="31" t="n">
        <v>66</v>
      </c>
      <c r="E195" s="31" t="inlineStr">
        <is>
          <t>Donas</t>
        </is>
      </c>
      <c r="F195" s="32" t="inlineStr">
        <is>
          <t>Dona Rellena de Manjar</t>
        </is>
      </c>
      <c r="G195" s="31" t="n">
        <v>24</v>
      </c>
      <c r="H195" s="33" t="n"/>
      <c r="I195" s="33">
        <f>IF(H195&gt;0, H195*G195, "")</f>
        <v/>
      </c>
      <c r="J195" s="33" t="n"/>
      <c r="K195" s="33" t="n">
        <v>0</v>
      </c>
      <c r="L195" s="34">
        <f>IF(I195&gt;0, MAX(0, I195-J195-K195), 0)</f>
        <v/>
      </c>
      <c r="M195" s="35" t="n">
        <v>4</v>
      </c>
      <c r="N195" s="36">
        <f>L195*M195</f>
        <v/>
      </c>
    </row>
    <row r="196" ht="19" customHeight="1">
      <c r="A196" s="31" t="inlineStr">
        <is>
          <t>11/09/2026</t>
        </is>
      </c>
      <c r="B196" s="31" t="inlineStr">
        <is>
          <t>Viernes</t>
        </is>
      </c>
      <c r="C196" s="31" t="inlineStr">
        <is>
          <t>Sucursal Central</t>
        </is>
      </c>
      <c r="D196" s="31" t="n">
        <v>67</v>
      </c>
      <c r="E196" s="31" t="inlineStr">
        <is>
          <t>Donas</t>
        </is>
      </c>
      <c r="F196" s="32" t="inlineStr">
        <is>
          <t>Dona Rellena de Fresa</t>
        </is>
      </c>
      <c r="G196" s="31" t="n">
        <v>24</v>
      </c>
      <c r="H196" s="33" t="n"/>
      <c r="I196" s="33">
        <f>IF(H196&gt;0, H196*G196, "")</f>
        <v/>
      </c>
      <c r="J196" s="33" t="n"/>
      <c r="K196" s="33" t="n">
        <v>0</v>
      </c>
      <c r="L196" s="34">
        <f>IF(I196&gt;0, MAX(0, I196-J196-K196), 0)</f>
        <v/>
      </c>
      <c r="M196" s="35" t="n">
        <v>4</v>
      </c>
      <c r="N196" s="36">
        <f>L196*M196</f>
        <v/>
      </c>
    </row>
    <row r="197" ht="19" customHeight="1">
      <c r="A197" s="31" t="inlineStr">
        <is>
          <t>11/09/2026</t>
        </is>
      </c>
      <c r="B197" s="31" t="inlineStr">
        <is>
          <t>Viernes</t>
        </is>
      </c>
      <c r="C197" s="31" t="inlineStr">
        <is>
          <t>Sucursal Central</t>
        </is>
      </c>
      <c r="D197" s="31" t="n">
        <v>68</v>
      </c>
      <c r="E197" s="31" t="inlineStr">
        <is>
          <t>Pan Dulce</t>
        </is>
      </c>
      <c r="F197" s="32" t="inlineStr">
        <is>
          <t>Campechana</t>
        </is>
      </c>
      <c r="G197" s="31" t="n">
        <v>20</v>
      </c>
      <c r="H197" s="33" t="n"/>
      <c r="I197" s="33">
        <f>IF(H197&gt;0, H197*G197, "")</f>
        <v/>
      </c>
      <c r="J197" s="33" t="n"/>
      <c r="K197" s="33" t="n">
        <v>0</v>
      </c>
      <c r="L197" s="34">
        <f>IF(I197&gt;0, MAX(0, I197-J197-K197), 0)</f>
        <v/>
      </c>
      <c r="M197" s="35" t="n">
        <v>1.25</v>
      </c>
      <c r="N197" s="36">
        <f>L197*M197</f>
        <v/>
      </c>
    </row>
    <row r="198" ht="19" customHeight="1">
      <c r="A198" s="31" t="inlineStr">
        <is>
          <t>11/09/2026</t>
        </is>
      </c>
      <c r="B198" s="31" t="inlineStr">
        <is>
          <t>Viernes</t>
        </is>
      </c>
      <c r="C198" s="31" t="inlineStr">
        <is>
          <t>Sucursal Central</t>
        </is>
      </c>
      <c r="D198" s="31" t="n">
        <v>69</v>
      </c>
      <c r="E198" s="31" t="inlineStr">
        <is>
          <t>Pan Dulce</t>
        </is>
      </c>
      <c r="F198" s="32" t="inlineStr">
        <is>
          <t>Pasitas</t>
        </is>
      </c>
      <c r="G198" s="31" t="n">
        <v>30</v>
      </c>
      <c r="H198" s="33" t="n"/>
      <c r="I198" s="33">
        <f>IF(H198&gt;0, H198*G198, "")</f>
        <v/>
      </c>
      <c r="J198" s="33" t="n"/>
      <c r="K198" s="33" t="n">
        <v>0</v>
      </c>
      <c r="L198" s="34">
        <f>IF(I198&gt;0, MAX(0, I198-J198-K198), 0)</f>
        <v/>
      </c>
      <c r="M198" s="35" t="n">
        <v>0.75</v>
      </c>
      <c r="N198" s="36">
        <f>L198*M198</f>
        <v/>
      </c>
    </row>
    <row r="199" ht="19" customHeight="1">
      <c r="A199" s="31" t="inlineStr">
        <is>
          <t>11/09/2026</t>
        </is>
      </c>
      <c r="B199" s="31" t="inlineStr">
        <is>
          <t>Viernes</t>
        </is>
      </c>
      <c r="C199" s="31" t="inlineStr">
        <is>
          <t>Sucursal Central</t>
        </is>
      </c>
      <c r="D199" s="31" t="n">
        <v>70</v>
      </c>
      <c r="E199" s="31" t="inlineStr">
        <is>
          <t>Reposteria</t>
        </is>
      </c>
      <c r="F199" s="32" t="inlineStr">
        <is>
          <t>Cortada de Fresa</t>
        </is>
      </c>
      <c r="G199" s="31" t="n">
        <v>14</v>
      </c>
      <c r="H199" s="33" t="n"/>
      <c r="I199" s="33">
        <f>IF(H199&gt;0, H199*G199, "")</f>
        <v/>
      </c>
      <c r="J199" s="33" t="n"/>
      <c r="K199" s="33" t="n">
        <v>0</v>
      </c>
      <c r="L199" s="34">
        <f>IF(I199&gt;0, MAX(0, I199-J199-K199), 0)</f>
        <v/>
      </c>
      <c r="M199" s="35" t="n">
        <v>2.5</v>
      </c>
      <c r="N199" s="36">
        <f>L199*M199</f>
        <v/>
      </c>
    </row>
    <row r="200" ht="19" customHeight="1">
      <c r="A200" s="31" t="inlineStr">
        <is>
          <t>11/09/2026</t>
        </is>
      </c>
      <c r="B200" s="31" t="inlineStr">
        <is>
          <t>Viernes</t>
        </is>
      </c>
      <c r="C200" s="31" t="inlineStr">
        <is>
          <t>Sucursal Central</t>
        </is>
      </c>
      <c r="D200" s="31" t="n">
        <v>71</v>
      </c>
      <c r="E200" s="31" t="inlineStr">
        <is>
          <t>Reposteria</t>
        </is>
      </c>
      <c r="F200" s="32" t="inlineStr">
        <is>
          <t>Cortada de Chocolate</t>
        </is>
      </c>
      <c r="G200" s="31" t="n">
        <v>14</v>
      </c>
      <c r="H200" s="33" t="n"/>
      <c r="I200" s="33">
        <f>IF(H200&gt;0, H200*G200, "")</f>
        <v/>
      </c>
      <c r="J200" s="33" t="n"/>
      <c r="K200" s="33" t="n">
        <v>0</v>
      </c>
      <c r="L200" s="34">
        <f>IF(I200&gt;0, MAX(0, I200-J200-K200), 0)</f>
        <v/>
      </c>
      <c r="M200" s="35" t="n">
        <v>2.5</v>
      </c>
      <c r="N200" s="36">
        <f>L200*M200</f>
        <v/>
      </c>
    </row>
    <row r="201" ht="19" customHeight="1">
      <c r="A201" s="37" t="inlineStr">
        <is>
          <t>12/09/2026</t>
        </is>
      </c>
      <c r="B201" s="37" t="inlineStr">
        <is>
          <t>Sábado</t>
        </is>
      </c>
      <c r="C201" s="37" t="inlineStr">
        <is>
          <t>Sucursal Central</t>
        </is>
      </c>
      <c r="D201" s="37" t="n">
        <v>54</v>
      </c>
      <c r="E201" s="37" t="inlineStr">
        <is>
          <t>Pan</t>
        </is>
      </c>
      <c r="F201" s="38" t="inlineStr">
        <is>
          <t>Pan Francés Tradicional</t>
        </is>
      </c>
      <c r="G201" s="37" t="n">
        <v>36</v>
      </c>
      <c r="H201" s="39" t="n"/>
      <c r="I201" s="39">
        <f>IF(H201&gt;0, H201*G201, "")</f>
        <v/>
      </c>
      <c r="J201" s="39" t="n"/>
      <c r="K201" s="39" t="n">
        <v>0</v>
      </c>
      <c r="L201" s="40">
        <f>IF(I201&gt;0, MAX(0, I201-J201-K201), 0)</f>
        <v/>
      </c>
      <c r="M201" s="41" t="n">
        <v>0.5</v>
      </c>
      <c r="N201" s="42">
        <f>L201*M201</f>
        <v/>
      </c>
    </row>
    <row r="202" ht="19" customHeight="1">
      <c r="A202" s="37" t="inlineStr">
        <is>
          <t>12/09/2026</t>
        </is>
      </c>
      <c r="B202" s="37" t="inlineStr">
        <is>
          <t>Sábado</t>
        </is>
      </c>
      <c r="C202" s="37" t="inlineStr">
        <is>
          <t>Sucursal Central</t>
        </is>
      </c>
      <c r="D202" s="37" t="n">
        <v>55</v>
      </c>
      <c r="E202" s="37" t="inlineStr">
        <is>
          <t>Pan Dulce</t>
        </is>
      </c>
      <c r="F202" s="38" t="inlineStr">
        <is>
          <t>Pan Dulce Pequeño</t>
        </is>
      </c>
      <c r="G202" s="37" t="n">
        <v>40</v>
      </c>
      <c r="H202" s="39" t="n"/>
      <c r="I202" s="39">
        <f>IF(H202&gt;0, H202*G202, "")</f>
        <v/>
      </c>
      <c r="J202" s="39" t="n"/>
      <c r="K202" s="39" t="n">
        <v>0</v>
      </c>
      <c r="L202" s="40">
        <f>IF(I202&gt;0, MAX(0, I202-J202-K202), 0)</f>
        <v/>
      </c>
      <c r="M202" s="41" t="n">
        <v>0.5</v>
      </c>
      <c r="N202" s="42">
        <f>L202*M202</f>
        <v/>
      </c>
    </row>
    <row r="203" ht="19" customHeight="1">
      <c r="A203" s="37" t="inlineStr">
        <is>
          <t>12/09/2026</t>
        </is>
      </c>
      <c r="B203" s="37" t="inlineStr">
        <is>
          <t>Sábado</t>
        </is>
      </c>
      <c r="C203" s="37" t="inlineStr">
        <is>
          <t>Sucursal Central</t>
        </is>
      </c>
      <c r="D203" s="37" t="n">
        <v>56</v>
      </c>
      <c r="E203" s="37" t="inlineStr">
        <is>
          <t>Pan Dulce</t>
        </is>
      </c>
      <c r="F203" s="38" t="inlineStr">
        <is>
          <t>Pan Dulce Grande</t>
        </is>
      </c>
      <c r="G203" s="37" t="n">
        <v>20</v>
      </c>
      <c r="H203" s="39" t="n"/>
      <c r="I203" s="39">
        <f>IF(H203&gt;0, H203*G203, "")</f>
        <v/>
      </c>
      <c r="J203" s="39" t="n"/>
      <c r="K203" s="39" t="n">
        <v>0</v>
      </c>
      <c r="L203" s="40">
        <f>IF(I203&gt;0, MAX(0, I203-J203-K203), 0)</f>
        <v/>
      </c>
      <c r="M203" s="41" t="n">
        <v>1.25</v>
      </c>
      <c r="N203" s="42">
        <f>L203*M203</f>
        <v/>
      </c>
    </row>
    <row r="204" ht="19" customHeight="1">
      <c r="A204" s="37" t="inlineStr">
        <is>
          <t>12/09/2026</t>
        </is>
      </c>
      <c r="B204" s="37" t="inlineStr">
        <is>
          <t>Sábado</t>
        </is>
      </c>
      <c r="C204" s="37" t="inlineStr">
        <is>
          <t>Sucursal Central</t>
        </is>
      </c>
      <c r="D204" s="37" t="n">
        <v>57</v>
      </c>
      <c r="E204" s="37" t="inlineStr">
        <is>
          <t>Galletas</t>
        </is>
      </c>
      <c r="F204" s="38" t="inlineStr">
        <is>
          <t>Pan Galleta</t>
        </is>
      </c>
      <c r="G204" s="37" t="n">
        <v>20</v>
      </c>
      <c r="H204" s="39" t="n"/>
      <c r="I204" s="39">
        <f>IF(H204&gt;0, H204*G204, "")</f>
        <v/>
      </c>
      <c r="J204" s="39" t="n"/>
      <c r="K204" s="39" t="n">
        <v>0</v>
      </c>
      <c r="L204" s="40">
        <f>IF(I204&gt;0, MAX(0, I204-J204-K204), 0)</f>
        <v/>
      </c>
      <c r="M204" s="41" t="n">
        <v>1.25</v>
      </c>
      <c r="N204" s="42">
        <f>L204*M204</f>
        <v/>
      </c>
    </row>
    <row r="205" ht="19" customHeight="1">
      <c r="A205" s="37" t="inlineStr">
        <is>
          <t>12/09/2026</t>
        </is>
      </c>
      <c r="B205" s="37" t="inlineStr">
        <is>
          <t>Sábado</t>
        </is>
      </c>
      <c r="C205" s="37" t="inlineStr">
        <is>
          <t>Sucursal Central</t>
        </is>
      </c>
      <c r="D205" s="37" t="n">
        <v>58</v>
      </c>
      <c r="E205" s="37" t="inlineStr">
        <is>
          <t>Galletas</t>
        </is>
      </c>
      <c r="F205" s="38" t="inlineStr">
        <is>
          <t>Champurrada Pequeña</t>
        </is>
      </c>
      <c r="G205" s="37" t="n">
        <v>24</v>
      </c>
      <c r="H205" s="39" t="n"/>
      <c r="I205" s="39">
        <f>IF(H205&gt;0, H205*G205, "")</f>
        <v/>
      </c>
      <c r="J205" s="39" t="n"/>
      <c r="K205" s="39" t="n">
        <v>0</v>
      </c>
      <c r="L205" s="40">
        <f>IF(I205&gt;0, MAX(0, I205-J205-K205), 0)</f>
        <v/>
      </c>
      <c r="M205" s="41" t="n">
        <v>0.5</v>
      </c>
      <c r="N205" s="42">
        <f>L205*M205</f>
        <v/>
      </c>
    </row>
    <row r="206" ht="19" customHeight="1">
      <c r="A206" s="37" t="inlineStr">
        <is>
          <t>12/09/2026</t>
        </is>
      </c>
      <c r="B206" s="37" t="inlineStr">
        <is>
          <t>Sábado</t>
        </is>
      </c>
      <c r="C206" s="37" t="inlineStr">
        <is>
          <t>Sucursal Central</t>
        </is>
      </c>
      <c r="D206" s="37" t="n">
        <v>59</v>
      </c>
      <c r="E206" s="37" t="inlineStr">
        <is>
          <t>Galletas</t>
        </is>
      </c>
      <c r="F206" s="38" t="inlineStr">
        <is>
          <t>Champurrada Grande</t>
        </is>
      </c>
      <c r="G206" s="37" t="n">
        <v>15</v>
      </c>
      <c r="H206" s="39" t="n"/>
      <c r="I206" s="39">
        <f>IF(H206&gt;0, H206*G206, "")</f>
        <v/>
      </c>
      <c r="J206" s="39" t="n"/>
      <c r="K206" s="39" t="n">
        <v>0</v>
      </c>
      <c r="L206" s="40">
        <f>IF(I206&gt;0, MAX(0, I206-J206-K206), 0)</f>
        <v/>
      </c>
      <c r="M206" s="41" t="n">
        <v>1.25</v>
      </c>
      <c r="N206" s="42">
        <f>L206*M206</f>
        <v/>
      </c>
    </row>
    <row r="207" ht="19" customHeight="1">
      <c r="A207" s="37" t="inlineStr">
        <is>
          <t>12/09/2026</t>
        </is>
      </c>
      <c r="B207" s="37" t="inlineStr">
        <is>
          <t>Sábado</t>
        </is>
      </c>
      <c r="C207" s="37" t="inlineStr">
        <is>
          <t>Sucursal Central</t>
        </is>
      </c>
      <c r="D207" s="37" t="n">
        <v>60</v>
      </c>
      <c r="E207" s="37" t="inlineStr">
        <is>
          <t>Reposteria</t>
        </is>
      </c>
      <c r="F207" s="38" t="inlineStr">
        <is>
          <t>Cubilete de Vainilla</t>
        </is>
      </c>
      <c r="G207" s="37" t="n">
        <v>30</v>
      </c>
      <c r="H207" s="39" t="n"/>
      <c r="I207" s="39">
        <f>IF(H207&gt;0, H207*G207, "")</f>
        <v/>
      </c>
      <c r="J207" s="39" t="n"/>
      <c r="K207" s="39" t="n">
        <v>0</v>
      </c>
      <c r="L207" s="40">
        <f>IF(I207&gt;0, MAX(0, I207-J207-K207), 0)</f>
        <v/>
      </c>
      <c r="M207" s="41" t="n">
        <v>2</v>
      </c>
      <c r="N207" s="42">
        <f>L207*M207</f>
        <v/>
      </c>
    </row>
    <row r="208" ht="19" customHeight="1">
      <c r="A208" s="37" t="inlineStr">
        <is>
          <t>12/09/2026</t>
        </is>
      </c>
      <c r="B208" s="37" t="inlineStr">
        <is>
          <t>Sábado</t>
        </is>
      </c>
      <c r="C208" s="37" t="inlineStr">
        <is>
          <t>Sucursal Central</t>
        </is>
      </c>
      <c r="D208" s="37" t="n">
        <v>61</v>
      </c>
      <c r="E208" s="37" t="inlineStr">
        <is>
          <t>Reposteria</t>
        </is>
      </c>
      <c r="F208" s="38" t="inlineStr">
        <is>
          <t>Cubilete de Banano</t>
        </is>
      </c>
      <c r="G208" s="37" t="n">
        <v>30</v>
      </c>
      <c r="H208" s="39" t="n"/>
      <c r="I208" s="39">
        <f>IF(H208&gt;0, H208*G208, "")</f>
        <v/>
      </c>
      <c r="J208" s="39" t="n"/>
      <c r="K208" s="39" t="n">
        <v>0</v>
      </c>
      <c r="L208" s="40">
        <f>IF(I208&gt;0, MAX(0, I208-J208-K208), 0)</f>
        <v/>
      </c>
      <c r="M208" s="41" t="n">
        <v>2</v>
      </c>
      <c r="N208" s="42">
        <f>L208*M208</f>
        <v/>
      </c>
    </row>
    <row r="209" ht="19" customHeight="1">
      <c r="A209" s="37" t="inlineStr">
        <is>
          <t>12/09/2026</t>
        </is>
      </c>
      <c r="B209" s="37" t="inlineStr">
        <is>
          <t>Sábado</t>
        </is>
      </c>
      <c r="C209" s="37" t="inlineStr">
        <is>
          <t>Sucursal Central</t>
        </is>
      </c>
      <c r="D209" s="37" t="n">
        <v>62</v>
      </c>
      <c r="E209" s="37" t="inlineStr">
        <is>
          <t>Reposteria</t>
        </is>
      </c>
      <c r="F209" s="38" t="inlineStr">
        <is>
          <t>Empanada de Piña</t>
        </is>
      </c>
      <c r="G209" s="37" t="n">
        <v>16</v>
      </c>
      <c r="H209" s="39" t="n"/>
      <c r="I209" s="39">
        <f>IF(H209&gt;0, H209*G209, "")</f>
        <v/>
      </c>
      <c r="J209" s="39" t="n"/>
      <c r="K209" s="39" t="n">
        <v>0</v>
      </c>
      <c r="L209" s="40">
        <f>IF(I209&gt;0, MAX(0, I209-J209-K209), 0)</f>
        <v/>
      </c>
      <c r="M209" s="41" t="n">
        <v>2.5</v>
      </c>
      <c r="N209" s="42">
        <f>L209*M209</f>
        <v/>
      </c>
    </row>
    <row r="210" ht="19" customHeight="1">
      <c r="A210" s="37" t="inlineStr">
        <is>
          <t>12/09/2026</t>
        </is>
      </c>
      <c r="B210" s="37" t="inlineStr">
        <is>
          <t>Sábado</t>
        </is>
      </c>
      <c r="C210" s="37" t="inlineStr">
        <is>
          <t>Sucursal Central</t>
        </is>
      </c>
      <c r="D210" s="37" t="n">
        <v>63</v>
      </c>
      <c r="E210" s="37" t="inlineStr">
        <is>
          <t>Reposteria</t>
        </is>
      </c>
      <c r="F210" s="38" t="inlineStr">
        <is>
          <t>Empanada de Manjar</t>
        </is>
      </c>
      <c r="G210" s="37" t="n">
        <v>16</v>
      </c>
      <c r="H210" s="39" t="n"/>
      <c r="I210" s="39">
        <f>IF(H210&gt;0, H210*G210, "")</f>
        <v/>
      </c>
      <c r="J210" s="39" t="n"/>
      <c r="K210" s="39" t="n">
        <v>0</v>
      </c>
      <c r="L210" s="40">
        <f>IF(I210&gt;0, MAX(0, I210-J210-K210), 0)</f>
        <v/>
      </c>
      <c r="M210" s="41" t="n">
        <v>2.5</v>
      </c>
      <c r="N210" s="42">
        <f>L210*M210</f>
        <v/>
      </c>
    </row>
    <row r="211" ht="19" customHeight="1">
      <c r="A211" s="37" t="inlineStr">
        <is>
          <t>12/09/2026</t>
        </is>
      </c>
      <c r="B211" s="37" t="inlineStr">
        <is>
          <t>Sábado</t>
        </is>
      </c>
      <c r="C211" s="37" t="inlineStr">
        <is>
          <t>Sucursal Central</t>
        </is>
      </c>
      <c r="D211" s="37" t="n">
        <v>64</v>
      </c>
      <c r="E211" s="37" t="inlineStr">
        <is>
          <t>Galletas</t>
        </is>
      </c>
      <c r="F211" s="38" t="inlineStr">
        <is>
          <t>Polvorosa Tradicional</t>
        </is>
      </c>
      <c r="G211" s="37" t="n">
        <v>15</v>
      </c>
      <c r="H211" s="39" t="n"/>
      <c r="I211" s="39">
        <f>IF(H211&gt;0, H211*G211, "")</f>
        <v/>
      </c>
      <c r="J211" s="39" t="n"/>
      <c r="K211" s="39" t="n">
        <v>0</v>
      </c>
      <c r="L211" s="40">
        <f>IF(I211&gt;0, MAX(0, I211-J211-K211), 0)</f>
        <v/>
      </c>
      <c r="M211" s="41" t="n">
        <v>1.25</v>
      </c>
      <c r="N211" s="42">
        <f>L211*M211</f>
        <v/>
      </c>
    </row>
    <row r="212" ht="19" customHeight="1">
      <c r="A212" s="37" t="inlineStr">
        <is>
          <t>12/09/2026</t>
        </is>
      </c>
      <c r="B212" s="37" t="inlineStr">
        <is>
          <t>Sábado</t>
        </is>
      </c>
      <c r="C212" s="37" t="inlineStr">
        <is>
          <t>Sucursal Central</t>
        </is>
      </c>
      <c r="D212" s="37" t="n">
        <v>65</v>
      </c>
      <c r="E212" s="37" t="inlineStr">
        <is>
          <t>Donas</t>
        </is>
      </c>
      <c r="F212" s="38" t="inlineStr">
        <is>
          <t>Dona Simple Glaseada</t>
        </is>
      </c>
      <c r="G212" s="37" t="n">
        <v>24</v>
      </c>
      <c r="H212" s="39" t="n"/>
      <c r="I212" s="39">
        <f>IF(H212&gt;0, H212*G212, "")</f>
        <v/>
      </c>
      <c r="J212" s="39" t="n"/>
      <c r="K212" s="39" t="n">
        <v>0</v>
      </c>
      <c r="L212" s="40">
        <f>IF(I212&gt;0, MAX(0, I212-J212-K212), 0)</f>
        <v/>
      </c>
      <c r="M212" s="41" t="n">
        <v>2.5</v>
      </c>
      <c r="N212" s="42">
        <f>L212*M212</f>
        <v/>
      </c>
    </row>
    <row r="213" ht="19" customHeight="1">
      <c r="A213" s="37" t="inlineStr">
        <is>
          <t>12/09/2026</t>
        </is>
      </c>
      <c r="B213" s="37" t="inlineStr">
        <is>
          <t>Sábado</t>
        </is>
      </c>
      <c r="C213" s="37" t="inlineStr">
        <is>
          <t>Sucursal Central</t>
        </is>
      </c>
      <c r="D213" s="37" t="n">
        <v>66</v>
      </c>
      <c r="E213" s="37" t="inlineStr">
        <is>
          <t>Donas</t>
        </is>
      </c>
      <c r="F213" s="38" t="inlineStr">
        <is>
          <t>Dona Rellena de Manjar</t>
        </is>
      </c>
      <c r="G213" s="37" t="n">
        <v>24</v>
      </c>
      <c r="H213" s="39" t="n"/>
      <c r="I213" s="39">
        <f>IF(H213&gt;0, H213*G213, "")</f>
        <v/>
      </c>
      <c r="J213" s="39" t="n"/>
      <c r="K213" s="39" t="n">
        <v>0</v>
      </c>
      <c r="L213" s="40">
        <f>IF(I213&gt;0, MAX(0, I213-J213-K213), 0)</f>
        <v/>
      </c>
      <c r="M213" s="41" t="n">
        <v>4</v>
      </c>
      <c r="N213" s="42">
        <f>L213*M213</f>
        <v/>
      </c>
    </row>
    <row r="214" ht="19" customHeight="1">
      <c r="A214" s="37" t="inlineStr">
        <is>
          <t>12/09/2026</t>
        </is>
      </c>
      <c r="B214" s="37" t="inlineStr">
        <is>
          <t>Sábado</t>
        </is>
      </c>
      <c r="C214" s="37" t="inlineStr">
        <is>
          <t>Sucursal Central</t>
        </is>
      </c>
      <c r="D214" s="37" t="n">
        <v>67</v>
      </c>
      <c r="E214" s="37" t="inlineStr">
        <is>
          <t>Donas</t>
        </is>
      </c>
      <c r="F214" s="38" t="inlineStr">
        <is>
          <t>Dona Rellena de Fresa</t>
        </is>
      </c>
      <c r="G214" s="37" t="n">
        <v>24</v>
      </c>
      <c r="H214" s="39" t="n"/>
      <c r="I214" s="39">
        <f>IF(H214&gt;0, H214*G214, "")</f>
        <v/>
      </c>
      <c r="J214" s="39" t="n"/>
      <c r="K214" s="39" t="n">
        <v>0</v>
      </c>
      <c r="L214" s="40">
        <f>IF(I214&gt;0, MAX(0, I214-J214-K214), 0)</f>
        <v/>
      </c>
      <c r="M214" s="41" t="n">
        <v>4</v>
      </c>
      <c r="N214" s="42">
        <f>L214*M214</f>
        <v/>
      </c>
    </row>
    <row r="215" ht="19" customHeight="1">
      <c r="A215" s="37" t="inlineStr">
        <is>
          <t>12/09/2026</t>
        </is>
      </c>
      <c r="B215" s="37" t="inlineStr">
        <is>
          <t>Sábado</t>
        </is>
      </c>
      <c r="C215" s="37" t="inlineStr">
        <is>
          <t>Sucursal Central</t>
        </is>
      </c>
      <c r="D215" s="37" t="n">
        <v>68</v>
      </c>
      <c r="E215" s="37" t="inlineStr">
        <is>
          <t>Pan Dulce</t>
        </is>
      </c>
      <c r="F215" s="38" t="inlineStr">
        <is>
          <t>Campechana</t>
        </is>
      </c>
      <c r="G215" s="37" t="n">
        <v>20</v>
      </c>
      <c r="H215" s="39" t="n"/>
      <c r="I215" s="39">
        <f>IF(H215&gt;0, H215*G215, "")</f>
        <v/>
      </c>
      <c r="J215" s="39" t="n"/>
      <c r="K215" s="39" t="n">
        <v>0</v>
      </c>
      <c r="L215" s="40">
        <f>IF(I215&gt;0, MAX(0, I215-J215-K215), 0)</f>
        <v/>
      </c>
      <c r="M215" s="41" t="n">
        <v>1.25</v>
      </c>
      <c r="N215" s="42">
        <f>L215*M215</f>
        <v/>
      </c>
    </row>
    <row r="216" ht="19" customHeight="1">
      <c r="A216" s="37" t="inlineStr">
        <is>
          <t>12/09/2026</t>
        </is>
      </c>
      <c r="B216" s="37" t="inlineStr">
        <is>
          <t>Sábado</t>
        </is>
      </c>
      <c r="C216" s="37" t="inlineStr">
        <is>
          <t>Sucursal Central</t>
        </is>
      </c>
      <c r="D216" s="37" t="n">
        <v>69</v>
      </c>
      <c r="E216" s="37" t="inlineStr">
        <is>
          <t>Pan Dulce</t>
        </is>
      </c>
      <c r="F216" s="38" t="inlineStr">
        <is>
          <t>Pasitas</t>
        </is>
      </c>
      <c r="G216" s="37" t="n">
        <v>30</v>
      </c>
      <c r="H216" s="39" t="n"/>
      <c r="I216" s="39">
        <f>IF(H216&gt;0, H216*G216, "")</f>
        <v/>
      </c>
      <c r="J216" s="39" t="n"/>
      <c r="K216" s="39" t="n">
        <v>0</v>
      </c>
      <c r="L216" s="40">
        <f>IF(I216&gt;0, MAX(0, I216-J216-K216), 0)</f>
        <v/>
      </c>
      <c r="M216" s="41" t="n">
        <v>0.75</v>
      </c>
      <c r="N216" s="42">
        <f>L216*M216</f>
        <v/>
      </c>
    </row>
    <row r="217" ht="19" customHeight="1">
      <c r="A217" s="37" t="inlineStr">
        <is>
          <t>12/09/2026</t>
        </is>
      </c>
      <c r="B217" s="37" t="inlineStr">
        <is>
          <t>Sábado</t>
        </is>
      </c>
      <c r="C217" s="37" t="inlineStr">
        <is>
          <t>Sucursal Central</t>
        </is>
      </c>
      <c r="D217" s="37" t="n">
        <v>70</v>
      </c>
      <c r="E217" s="37" t="inlineStr">
        <is>
          <t>Reposteria</t>
        </is>
      </c>
      <c r="F217" s="38" t="inlineStr">
        <is>
          <t>Cortada de Fresa</t>
        </is>
      </c>
      <c r="G217" s="37" t="n">
        <v>14</v>
      </c>
      <c r="H217" s="39" t="n"/>
      <c r="I217" s="39">
        <f>IF(H217&gt;0, H217*G217, "")</f>
        <v/>
      </c>
      <c r="J217" s="39" t="n"/>
      <c r="K217" s="39" t="n">
        <v>0</v>
      </c>
      <c r="L217" s="40">
        <f>IF(I217&gt;0, MAX(0, I217-J217-K217), 0)</f>
        <v/>
      </c>
      <c r="M217" s="41" t="n">
        <v>2.5</v>
      </c>
      <c r="N217" s="42">
        <f>L217*M217</f>
        <v/>
      </c>
    </row>
    <row r="218" ht="19" customHeight="1">
      <c r="A218" s="37" t="inlineStr">
        <is>
          <t>12/09/2026</t>
        </is>
      </c>
      <c r="B218" s="37" t="inlineStr">
        <is>
          <t>Sábado</t>
        </is>
      </c>
      <c r="C218" s="37" t="inlineStr">
        <is>
          <t>Sucursal Central</t>
        </is>
      </c>
      <c r="D218" s="37" t="n">
        <v>71</v>
      </c>
      <c r="E218" s="37" t="inlineStr">
        <is>
          <t>Reposteria</t>
        </is>
      </c>
      <c r="F218" s="38" t="inlineStr">
        <is>
          <t>Cortada de Chocolate</t>
        </is>
      </c>
      <c r="G218" s="37" t="n">
        <v>14</v>
      </c>
      <c r="H218" s="39" t="n"/>
      <c r="I218" s="39">
        <f>IF(H218&gt;0, H218*G218, "")</f>
        <v/>
      </c>
      <c r="J218" s="39" t="n"/>
      <c r="K218" s="39" t="n">
        <v>0</v>
      </c>
      <c r="L218" s="40">
        <f>IF(I218&gt;0, MAX(0, I218-J218-K218), 0)</f>
        <v/>
      </c>
      <c r="M218" s="41" t="n">
        <v>2.5</v>
      </c>
      <c r="N218" s="42">
        <f>L218*M218</f>
        <v/>
      </c>
    </row>
    <row r="219" ht="19" customHeight="1">
      <c r="A219" s="43" t="inlineStr">
        <is>
          <t>13/09/2026</t>
        </is>
      </c>
      <c r="B219" s="43" t="inlineStr">
        <is>
          <t>Domingo</t>
        </is>
      </c>
      <c r="C219" s="43" t="inlineStr">
        <is>
          <t>Sucursal Central</t>
        </is>
      </c>
      <c r="D219" s="43" t="n">
        <v>54</v>
      </c>
      <c r="E219" s="43" t="inlineStr">
        <is>
          <t>Pan</t>
        </is>
      </c>
      <c r="F219" s="44" t="inlineStr">
        <is>
          <t>Pan Francés Tradicional</t>
        </is>
      </c>
      <c r="G219" s="43" t="n">
        <v>36</v>
      </c>
      <c r="H219" s="45" t="n"/>
      <c r="I219" s="45">
        <f>IF(H219&gt;0, H219*G219, "")</f>
        <v/>
      </c>
      <c r="J219" s="45" t="n"/>
      <c r="K219" s="45" t="n">
        <v>0</v>
      </c>
      <c r="L219" s="25">
        <f>IF(I219&gt;0, MAX(0, I219-J219-K219), 0)</f>
        <v/>
      </c>
      <c r="M219" s="46" t="n">
        <v>0.5</v>
      </c>
      <c r="N219" s="17">
        <f>L219*M219</f>
        <v/>
      </c>
    </row>
    <row r="220" ht="19" customHeight="1">
      <c r="A220" s="43" t="inlineStr">
        <is>
          <t>13/09/2026</t>
        </is>
      </c>
      <c r="B220" s="43" t="inlineStr">
        <is>
          <t>Domingo</t>
        </is>
      </c>
      <c r="C220" s="43" t="inlineStr">
        <is>
          <t>Sucursal Central</t>
        </is>
      </c>
      <c r="D220" s="43" t="n">
        <v>55</v>
      </c>
      <c r="E220" s="43" t="inlineStr">
        <is>
          <t>Pan Dulce</t>
        </is>
      </c>
      <c r="F220" s="44" t="inlineStr">
        <is>
          <t>Pan Dulce Pequeño</t>
        </is>
      </c>
      <c r="G220" s="43" t="n">
        <v>40</v>
      </c>
      <c r="H220" s="45" t="n"/>
      <c r="I220" s="45">
        <f>IF(H220&gt;0, H220*G220, "")</f>
        <v/>
      </c>
      <c r="J220" s="45" t="n"/>
      <c r="K220" s="45" t="n">
        <v>0</v>
      </c>
      <c r="L220" s="25">
        <f>IF(I220&gt;0, MAX(0, I220-J220-K220), 0)</f>
        <v/>
      </c>
      <c r="M220" s="46" t="n">
        <v>0.5</v>
      </c>
      <c r="N220" s="17">
        <f>L220*M220</f>
        <v/>
      </c>
    </row>
    <row r="221" ht="19" customHeight="1">
      <c r="A221" s="43" t="inlineStr">
        <is>
          <t>13/09/2026</t>
        </is>
      </c>
      <c r="B221" s="43" t="inlineStr">
        <is>
          <t>Domingo</t>
        </is>
      </c>
      <c r="C221" s="43" t="inlineStr">
        <is>
          <t>Sucursal Central</t>
        </is>
      </c>
      <c r="D221" s="43" t="n">
        <v>56</v>
      </c>
      <c r="E221" s="43" t="inlineStr">
        <is>
          <t>Pan Dulce</t>
        </is>
      </c>
      <c r="F221" s="44" t="inlineStr">
        <is>
          <t>Pan Dulce Grande</t>
        </is>
      </c>
      <c r="G221" s="43" t="n">
        <v>20</v>
      </c>
      <c r="H221" s="45" t="n"/>
      <c r="I221" s="45">
        <f>IF(H221&gt;0, H221*G221, "")</f>
        <v/>
      </c>
      <c r="J221" s="45" t="n"/>
      <c r="K221" s="45" t="n">
        <v>0</v>
      </c>
      <c r="L221" s="25">
        <f>IF(I221&gt;0, MAX(0, I221-J221-K221), 0)</f>
        <v/>
      </c>
      <c r="M221" s="46" t="n">
        <v>1.25</v>
      </c>
      <c r="N221" s="17">
        <f>L221*M221</f>
        <v/>
      </c>
    </row>
    <row r="222" ht="19" customHeight="1">
      <c r="A222" s="43" t="inlineStr">
        <is>
          <t>13/09/2026</t>
        </is>
      </c>
      <c r="B222" s="43" t="inlineStr">
        <is>
          <t>Domingo</t>
        </is>
      </c>
      <c r="C222" s="43" t="inlineStr">
        <is>
          <t>Sucursal Central</t>
        </is>
      </c>
      <c r="D222" s="43" t="n">
        <v>57</v>
      </c>
      <c r="E222" s="43" t="inlineStr">
        <is>
          <t>Galletas</t>
        </is>
      </c>
      <c r="F222" s="44" t="inlineStr">
        <is>
          <t>Pan Galleta</t>
        </is>
      </c>
      <c r="G222" s="43" t="n">
        <v>20</v>
      </c>
      <c r="H222" s="45" t="n"/>
      <c r="I222" s="45">
        <f>IF(H222&gt;0, H222*G222, "")</f>
        <v/>
      </c>
      <c r="J222" s="45" t="n"/>
      <c r="K222" s="45" t="n">
        <v>0</v>
      </c>
      <c r="L222" s="25">
        <f>IF(I222&gt;0, MAX(0, I222-J222-K222), 0)</f>
        <v/>
      </c>
      <c r="M222" s="46" t="n">
        <v>1.25</v>
      </c>
      <c r="N222" s="17">
        <f>L222*M222</f>
        <v/>
      </c>
    </row>
    <row r="223" ht="19" customHeight="1">
      <c r="A223" s="43" t="inlineStr">
        <is>
          <t>13/09/2026</t>
        </is>
      </c>
      <c r="B223" s="43" t="inlineStr">
        <is>
          <t>Domingo</t>
        </is>
      </c>
      <c r="C223" s="43" t="inlineStr">
        <is>
          <t>Sucursal Central</t>
        </is>
      </c>
      <c r="D223" s="43" t="n">
        <v>58</v>
      </c>
      <c r="E223" s="43" t="inlineStr">
        <is>
          <t>Galletas</t>
        </is>
      </c>
      <c r="F223" s="44" t="inlineStr">
        <is>
          <t>Champurrada Pequeña</t>
        </is>
      </c>
      <c r="G223" s="43" t="n">
        <v>24</v>
      </c>
      <c r="H223" s="45" t="n"/>
      <c r="I223" s="45">
        <f>IF(H223&gt;0, H223*G223, "")</f>
        <v/>
      </c>
      <c r="J223" s="45" t="n"/>
      <c r="K223" s="45" t="n">
        <v>0</v>
      </c>
      <c r="L223" s="25">
        <f>IF(I223&gt;0, MAX(0, I223-J223-K223), 0)</f>
        <v/>
      </c>
      <c r="M223" s="46" t="n">
        <v>0.5</v>
      </c>
      <c r="N223" s="17">
        <f>L223*M223</f>
        <v/>
      </c>
    </row>
    <row r="224" ht="19" customHeight="1">
      <c r="A224" s="43" t="inlineStr">
        <is>
          <t>13/09/2026</t>
        </is>
      </c>
      <c r="B224" s="43" t="inlineStr">
        <is>
          <t>Domingo</t>
        </is>
      </c>
      <c r="C224" s="43" t="inlineStr">
        <is>
          <t>Sucursal Central</t>
        </is>
      </c>
      <c r="D224" s="43" t="n">
        <v>59</v>
      </c>
      <c r="E224" s="43" t="inlineStr">
        <is>
          <t>Galletas</t>
        </is>
      </c>
      <c r="F224" s="44" t="inlineStr">
        <is>
          <t>Champurrada Grande</t>
        </is>
      </c>
      <c r="G224" s="43" t="n">
        <v>15</v>
      </c>
      <c r="H224" s="45" t="n"/>
      <c r="I224" s="45">
        <f>IF(H224&gt;0, H224*G224, "")</f>
        <v/>
      </c>
      <c r="J224" s="45" t="n"/>
      <c r="K224" s="45" t="n">
        <v>0</v>
      </c>
      <c r="L224" s="25">
        <f>IF(I224&gt;0, MAX(0, I224-J224-K224), 0)</f>
        <v/>
      </c>
      <c r="M224" s="46" t="n">
        <v>1.25</v>
      </c>
      <c r="N224" s="17">
        <f>L224*M224</f>
        <v/>
      </c>
    </row>
    <row r="225" ht="19" customHeight="1">
      <c r="A225" s="43" t="inlineStr">
        <is>
          <t>13/09/2026</t>
        </is>
      </c>
      <c r="B225" s="43" t="inlineStr">
        <is>
          <t>Domingo</t>
        </is>
      </c>
      <c r="C225" s="43" t="inlineStr">
        <is>
          <t>Sucursal Central</t>
        </is>
      </c>
      <c r="D225" s="43" t="n">
        <v>60</v>
      </c>
      <c r="E225" s="43" t="inlineStr">
        <is>
          <t>Reposteria</t>
        </is>
      </c>
      <c r="F225" s="44" t="inlineStr">
        <is>
          <t>Cubilete de Vainilla</t>
        </is>
      </c>
      <c r="G225" s="43" t="n">
        <v>30</v>
      </c>
      <c r="H225" s="45" t="n"/>
      <c r="I225" s="45">
        <f>IF(H225&gt;0, H225*G225, "")</f>
        <v/>
      </c>
      <c r="J225" s="45" t="n"/>
      <c r="K225" s="45" t="n">
        <v>0</v>
      </c>
      <c r="L225" s="25">
        <f>IF(I225&gt;0, MAX(0, I225-J225-K225), 0)</f>
        <v/>
      </c>
      <c r="M225" s="46" t="n">
        <v>2</v>
      </c>
      <c r="N225" s="17">
        <f>L225*M225</f>
        <v/>
      </c>
    </row>
    <row r="226" ht="19" customHeight="1">
      <c r="A226" s="43" t="inlineStr">
        <is>
          <t>13/09/2026</t>
        </is>
      </c>
      <c r="B226" s="43" t="inlineStr">
        <is>
          <t>Domingo</t>
        </is>
      </c>
      <c r="C226" s="43" t="inlineStr">
        <is>
          <t>Sucursal Central</t>
        </is>
      </c>
      <c r="D226" s="43" t="n">
        <v>61</v>
      </c>
      <c r="E226" s="43" t="inlineStr">
        <is>
          <t>Reposteria</t>
        </is>
      </c>
      <c r="F226" s="44" t="inlineStr">
        <is>
          <t>Cubilete de Banano</t>
        </is>
      </c>
      <c r="G226" s="43" t="n">
        <v>30</v>
      </c>
      <c r="H226" s="45" t="n"/>
      <c r="I226" s="45">
        <f>IF(H226&gt;0, H226*G226, "")</f>
        <v/>
      </c>
      <c r="J226" s="45" t="n"/>
      <c r="K226" s="45" t="n">
        <v>0</v>
      </c>
      <c r="L226" s="25">
        <f>IF(I226&gt;0, MAX(0, I226-J226-K226), 0)</f>
        <v/>
      </c>
      <c r="M226" s="46" t="n">
        <v>2</v>
      </c>
      <c r="N226" s="17">
        <f>L226*M226</f>
        <v/>
      </c>
    </row>
    <row r="227" ht="19" customHeight="1">
      <c r="A227" s="43" t="inlineStr">
        <is>
          <t>13/09/2026</t>
        </is>
      </c>
      <c r="B227" s="43" t="inlineStr">
        <is>
          <t>Domingo</t>
        </is>
      </c>
      <c r="C227" s="43" t="inlineStr">
        <is>
          <t>Sucursal Central</t>
        </is>
      </c>
      <c r="D227" s="43" t="n">
        <v>62</v>
      </c>
      <c r="E227" s="43" t="inlineStr">
        <is>
          <t>Reposteria</t>
        </is>
      </c>
      <c r="F227" s="44" t="inlineStr">
        <is>
          <t>Empanada de Piña</t>
        </is>
      </c>
      <c r="G227" s="43" t="n">
        <v>16</v>
      </c>
      <c r="H227" s="45" t="n"/>
      <c r="I227" s="45">
        <f>IF(H227&gt;0, H227*G227, "")</f>
        <v/>
      </c>
      <c r="J227" s="45" t="n"/>
      <c r="K227" s="45" t="n">
        <v>0</v>
      </c>
      <c r="L227" s="25">
        <f>IF(I227&gt;0, MAX(0, I227-J227-K227), 0)</f>
        <v/>
      </c>
      <c r="M227" s="46" t="n">
        <v>2.5</v>
      </c>
      <c r="N227" s="17">
        <f>L227*M227</f>
        <v/>
      </c>
    </row>
    <row r="228" ht="19" customHeight="1">
      <c r="A228" s="43" t="inlineStr">
        <is>
          <t>13/09/2026</t>
        </is>
      </c>
      <c r="B228" s="43" t="inlineStr">
        <is>
          <t>Domingo</t>
        </is>
      </c>
      <c r="C228" s="43" t="inlineStr">
        <is>
          <t>Sucursal Central</t>
        </is>
      </c>
      <c r="D228" s="43" t="n">
        <v>63</v>
      </c>
      <c r="E228" s="43" t="inlineStr">
        <is>
          <t>Reposteria</t>
        </is>
      </c>
      <c r="F228" s="44" t="inlineStr">
        <is>
          <t>Empanada de Manjar</t>
        </is>
      </c>
      <c r="G228" s="43" t="n">
        <v>16</v>
      </c>
      <c r="H228" s="45" t="n"/>
      <c r="I228" s="45">
        <f>IF(H228&gt;0, H228*G228, "")</f>
        <v/>
      </c>
      <c r="J228" s="45" t="n"/>
      <c r="K228" s="45" t="n">
        <v>0</v>
      </c>
      <c r="L228" s="25">
        <f>IF(I228&gt;0, MAX(0, I228-J228-K228), 0)</f>
        <v/>
      </c>
      <c r="M228" s="46" t="n">
        <v>2.5</v>
      </c>
      <c r="N228" s="17">
        <f>L228*M228</f>
        <v/>
      </c>
    </row>
    <row r="229" ht="19" customHeight="1">
      <c r="A229" s="43" t="inlineStr">
        <is>
          <t>13/09/2026</t>
        </is>
      </c>
      <c r="B229" s="43" t="inlineStr">
        <is>
          <t>Domingo</t>
        </is>
      </c>
      <c r="C229" s="43" t="inlineStr">
        <is>
          <t>Sucursal Central</t>
        </is>
      </c>
      <c r="D229" s="43" t="n">
        <v>64</v>
      </c>
      <c r="E229" s="43" t="inlineStr">
        <is>
          <t>Galletas</t>
        </is>
      </c>
      <c r="F229" s="44" t="inlineStr">
        <is>
          <t>Polvorosa Tradicional</t>
        </is>
      </c>
      <c r="G229" s="43" t="n">
        <v>15</v>
      </c>
      <c r="H229" s="45" t="n"/>
      <c r="I229" s="45">
        <f>IF(H229&gt;0, H229*G229, "")</f>
        <v/>
      </c>
      <c r="J229" s="45" t="n"/>
      <c r="K229" s="45" t="n">
        <v>0</v>
      </c>
      <c r="L229" s="25">
        <f>IF(I229&gt;0, MAX(0, I229-J229-K229), 0)</f>
        <v/>
      </c>
      <c r="M229" s="46" t="n">
        <v>1.25</v>
      </c>
      <c r="N229" s="17">
        <f>L229*M229</f>
        <v/>
      </c>
    </row>
    <row r="230" ht="19" customHeight="1">
      <c r="A230" s="43" t="inlineStr">
        <is>
          <t>13/09/2026</t>
        </is>
      </c>
      <c r="B230" s="43" t="inlineStr">
        <is>
          <t>Domingo</t>
        </is>
      </c>
      <c r="C230" s="43" t="inlineStr">
        <is>
          <t>Sucursal Central</t>
        </is>
      </c>
      <c r="D230" s="43" t="n">
        <v>65</v>
      </c>
      <c r="E230" s="43" t="inlineStr">
        <is>
          <t>Donas</t>
        </is>
      </c>
      <c r="F230" s="44" t="inlineStr">
        <is>
          <t>Dona Simple Glaseada</t>
        </is>
      </c>
      <c r="G230" s="43" t="n">
        <v>24</v>
      </c>
      <c r="H230" s="45" t="n"/>
      <c r="I230" s="45">
        <f>IF(H230&gt;0, H230*G230, "")</f>
        <v/>
      </c>
      <c r="J230" s="45" t="n"/>
      <c r="K230" s="45" t="n">
        <v>0</v>
      </c>
      <c r="L230" s="25">
        <f>IF(I230&gt;0, MAX(0, I230-J230-K230), 0)</f>
        <v/>
      </c>
      <c r="M230" s="46" t="n">
        <v>2.5</v>
      </c>
      <c r="N230" s="17">
        <f>L230*M230</f>
        <v/>
      </c>
    </row>
    <row r="231" ht="19" customHeight="1">
      <c r="A231" s="43" t="inlineStr">
        <is>
          <t>13/09/2026</t>
        </is>
      </c>
      <c r="B231" s="43" t="inlineStr">
        <is>
          <t>Domingo</t>
        </is>
      </c>
      <c r="C231" s="43" t="inlineStr">
        <is>
          <t>Sucursal Central</t>
        </is>
      </c>
      <c r="D231" s="43" t="n">
        <v>66</v>
      </c>
      <c r="E231" s="43" t="inlineStr">
        <is>
          <t>Donas</t>
        </is>
      </c>
      <c r="F231" s="44" t="inlineStr">
        <is>
          <t>Dona Rellena de Manjar</t>
        </is>
      </c>
      <c r="G231" s="43" t="n">
        <v>24</v>
      </c>
      <c r="H231" s="45" t="n"/>
      <c r="I231" s="45">
        <f>IF(H231&gt;0, H231*G231, "")</f>
        <v/>
      </c>
      <c r="J231" s="45" t="n"/>
      <c r="K231" s="45" t="n">
        <v>0</v>
      </c>
      <c r="L231" s="25">
        <f>IF(I231&gt;0, MAX(0, I231-J231-K231), 0)</f>
        <v/>
      </c>
      <c r="M231" s="46" t="n">
        <v>4</v>
      </c>
      <c r="N231" s="17">
        <f>L231*M231</f>
        <v/>
      </c>
    </row>
    <row r="232" ht="19" customHeight="1">
      <c r="A232" s="43" t="inlineStr">
        <is>
          <t>13/09/2026</t>
        </is>
      </c>
      <c r="B232" s="43" t="inlineStr">
        <is>
          <t>Domingo</t>
        </is>
      </c>
      <c r="C232" s="43" t="inlineStr">
        <is>
          <t>Sucursal Central</t>
        </is>
      </c>
      <c r="D232" s="43" t="n">
        <v>67</v>
      </c>
      <c r="E232" s="43" t="inlineStr">
        <is>
          <t>Donas</t>
        </is>
      </c>
      <c r="F232" s="44" t="inlineStr">
        <is>
          <t>Dona Rellena de Fresa</t>
        </is>
      </c>
      <c r="G232" s="43" t="n">
        <v>24</v>
      </c>
      <c r="H232" s="45" t="n"/>
      <c r="I232" s="45">
        <f>IF(H232&gt;0, H232*G232, "")</f>
        <v/>
      </c>
      <c r="J232" s="45" t="n"/>
      <c r="K232" s="45" t="n">
        <v>0</v>
      </c>
      <c r="L232" s="25">
        <f>IF(I232&gt;0, MAX(0, I232-J232-K232), 0)</f>
        <v/>
      </c>
      <c r="M232" s="46" t="n">
        <v>4</v>
      </c>
      <c r="N232" s="17">
        <f>L232*M232</f>
        <v/>
      </c>
    </row>
    <row r="233" ht="19" customHeight="1">
      <c r="A233" s="43" t="inlineStr">
        <is>
          <t>13/09/2026</t>
        </is>
      </c>
      <c r="B233" s="43" t="inlineStr">
        <is>
          <t>Domingo</t>
        </is>
      </c>
      <c r="C233" s="43" t="inlineStr">
        <is>
          <t>Sucursal Central</t>
        </is>
      </c>
      <c r="D233" s="43" t="n">
        <v>68</v>
      </c>
      <c r="E233" s="43" t="inlineStr">
        <is>
          <t>Pan Dulce</t>
        </is>
      </c>
      <c r="F233" s="44" t="inlineStr">
        <is>
          <t>Campechana</t>
        </is>
      </c>
      <c r="G233" s="43" t="n">
        <v>20</v>
      </c>
      <c r="H233" s="45" t="n"/>
      <c r="I233" s="45">
        <f>IF(H233&gt;0, H233*G233, "")</f>
        <v/>
      </c>
      <c r="J233" s="45" t="n"/>
      <c r="K233" s="45" t="n">
        <v>0</v>
      </c>
      <c r="L233" s="25">
        <f>IF(I233&gt;0, MAX(0, I233-J233-K233), 0)</f>
        <v/>
      </c>
      <c r="M233" s="46" t="n">
        <v>1.25</v>
      </c>
      <c r="N233" s="17">
        <f>L233*M233</f>
        <v/>
      </c>
    </row>
    <row r="234" ht="19" customHeight="1">
      <c r="A234" s="43" t="inlineStr">
        <is>
          <t>13/09/2026</t>
        </is>
      </c>
      <c r="B234" s="43" t="inlineStr">
        <is>
          <t>Domingo</t>
        </is>
      </c>
      <c r="C234" s="43" t="inlineStr">
        <is>
          <t>Sucursal Central</t>
        </is>
      </c>
      <c r="D234" s="43" t="n">
        <v>69</v>
      </c>
      <c r="E234" s="43" t="inlineStr">
        <is>
          <t>Pan Dulce</t>
        </is>
      </c>
      <c r="F234" s="44" t="inlineStr">
        <is>
          <t>Pasitas</t>
        </is>
      </c>
      <c r="G234" s="43" t="n">
        <v>30</v>
      </c>
      <c r="H234" s="45" t="n"/>
      <c r="I234" s="45">
        <f>IF(H234&gt;0, H234*G234, "")</f>
        <v/>
      </c>
      <c r="J234" s="45" t="n"/>
      <c r="K234" s="45" t="n">
        <v>0</v>
      </c>
      <c r="L234" s="25">
        <f>IF(I234&gt;0, MAX(0, I234-J234-K234), 0)</f>
        <v/>
      </c>
      <c r="M234" s="46" t="n">
        <v>0.75</v>
      </c>
      <c r="N234" s="17">
        <f>L234*M234</f>
        <v/>
      </c>
    </row>
    <row r="235" ht="19" customHeight="1">
      <c r="A235" s="43" t="inlineStr">
        <is>
          <t>13/09/2026</t>
        </is>
      </c>
      <c r="B235" s="43" t="inlineStr">
        <is>
          <t>Domingo</t>
        </is>
      </c>
      <c r="C235" s="43" t="inlineStr">
        <is>
          <t>Sucursal Central</t>
        </is>
      </c>
      <c r="D235" s="43" t="n">
        <v>70</v>
      </c>
      <c r="E235" s="43" t="inlineStr">
        <is>
          <t>Reposteria</t>
        </is>
      </c>
      <c r="F235" s="44" t="inlineStr">
        <is>
          <t>Cortada de Fresa</t>
        </is>
      </c>
      <c r="G235" s="43" t="n">
        <v>14</v>
      </c>
      <c r="H235" s="45" t="n"/>
      <c r="I235" s="45">
        <f>IF(H235&gt;0, H235*G235, "")</f>
        <v/>
      </c>
      <c r="J235" s="45" t="n"/>
      <c r="K235" s="45" t="n">
        <v>0</v>
      </c>
      <c r="L235" s="25">
        <f>IF(I235&gt;0, MAX(0, I235-J235-K235), 0)</f>
        <v/>
      </c>
      <c r="M235" s="46" t="n">
        <v>2.5</v>
      </c>
      <c r="N235" s="17">
        <f>L235*M235</f>
        <v/>
      </c>
    </row>
    <row r="236" ht="19" customHeight="1">
      <c r="A236" s="43" t="inlineStr">
        <is>
          <t>13/09/2026</t>
        </is>
      </c>
      <c r="B236" s="43" t="inlineStr">
        <is>
          <t>Domingo</t>
        </is>
      </c>
      <c r="C236" s="43" t="inlineStr">
        <is>
          <t>Sucursal Central</t>
        </is>
      </c>
      <c r="D236" s="43" t="n">
        <v>71</v>
      </c>
      <c r="E236" s="43" t="inlineStr">
        <is>
          <t>Reposteria</t>
        </is>
      </c>
      <c r="F236" s="44" t="inlineStr">
        <is>
          <t>Cortada de Chocolate</t>
        </is>
      </c>
      <c r="G236" s="43" t="n">
        <v>14</v>
      </c>
      <c r="H236" s="45" t="n"/>
      <c r="I236" s="45">
        <f>IF(H236&gt;0, H236*G236, "")</f>
        <v/>
      </c>
      <c r="J236" s="45" t="n"/>
      <c r="K236" s="45" t="n">
        <v>0</v>
      </c>
      <c r="L236" s="25">
        <f>IF(I236&gt;0, MAX(0, I236-J236-K236), 0)</f>
        <v/>
      </c>
      <c r="M236" s="46" t="n">
        <v>2.5</v>
      </c>
      <c r="N236" s="17">
        <f>L236*M236</f>
        <v/>
      </c>
    </row>
    <row r="237" ht="19" customHeight="1">
      <c r="A237" s="37" t="inlineStr">
        <is>
          <t>14/09/2026</t>
        </is>
      </c>
      <c r="B237" s="37" t="inlineStr">
        <is>
          <t>Lunes</t>
        </is>
      </c>
      <c r="C237" s="37" t="inlineStr">
        <is>
          <t>Sucursal Central</t>
        </is>
      </c>
      <c r="D237" s="37" t="n">
        <v>54</v>
      </c>
      <c r="E237" s="37" t="inlineStr">
        <is>
          <t>Pan</t>
        </is>
      </c>
      <c r="F237" s="38" t="inlineStr">
        <is>
          <t>Pan Francés Tradicional</t>
        </is>
      </c>
      <c r="G237" s="37" t="n">
        <v>36</v>
      </c>
      <c r="H237" s="39" t="n"/>
      <c r="I237" s="39">
        <f>IF(H237&gt;0, H237*G237, "")</f>
        <v/>
      </c>
      <c r="J237" s="39" t="n"/>
      <c r="K237" s="39" t="n">
        <v>0</v>
      </c>
      <c r="L237" s="40">
        <f>IF(I237&gt;0, MAX(0, I237-J237-K237), 0)</f>
        <v/>
      </c>
      <c r="M237" s="41" t="n">
        <v>0.5</v>
      </c>
      <c r="N237" s="42">
        <f>L237*M237</f>
        <v/>
      </c>
    </row>
    <row r="238" ht="19" customHeight="1">
      <c r="A238" s="37" t="inlineStr">
        <is>
          <t>14/09/2026</t>
        </is>
      </c>
      <c r="B238" s="37" t="inlineStr">
        <is>
          <t>Lunes</t>
        </is>
      </c>
      <c r="C238" s="37" t="inlineStr">
        <is>
          <t>Sucursal Central</t>
        </is>
      </c>
      <c r="D238" s="37" t="n">
        <v>55</v>
      </c>
      <c r="E238" s="37" t="inlineStr">
        <is>
          <t>Pan Dulce</t>
        </is>
      </c>
      <c r="F238" s="38" t="inlineStr">
        <is>
          <t>Pan Dulce Pequeño</t>
        </is>
      </c>
      <c r="G238" s="37" t="n">
        <v>40</v>
      </c>
      <c r="H238" s="39" t="n"/>
      <c r="I238" s="39">
        <f>IF(H238&gt;0, H238*G238, "")</f>
        <v/>
      </c>
      <c r="J238" s="39" t="n"/>
      <c r="K238" s="39" t="n">
        <v>0</v>
      </c>
      <c r="L238" s="40">
        <f>IF(I238&gt;0, MAX(0, I238-J238-K238), 0)</f>
        <v/>
      </c>
      <c r="M238" s="41" t="n">
        <v>0.5</v>
      </c>
      <c r="N238" s="42">
        <f>L238*M238</f>
        <v/>
      </c>
    </row>
    <row r="239" ht="19" customHeight="1">
      <c r="A239" s="37" t="inlineStr">
        <is>
          <t>14/09/2026</t>
        </is>
      </c>
      <c r="B239" s="37" t="inlineStr">
        <is>
          <t>Lunes</t>
        </is>
      </c>
      <c r="C239" s="37" t="inlineStr">
        <is>
          <t>Sucursal Central</t>
        </is>
      </c>
      <c r="D239" s="37" t="n">
        <v>56</v>
      </c>
      <c r="E239" s="37" t="inlineStr">
        <is>
          <t>Pan Dulce</t>
        </is>
      </c>
      <c r="F239" s="38" t="inlineStr">
        <is>
          <t>Pan Dulce Grande</t>
        </is>
      </c>
      <c r="G239" s="37" t="n">
        <v>20</v>
      </c>
      <c r="H239" s="39" t="n"/>
      <c r="I239" s="39">
        <f>IF(H239&gt;0, H239*G239, "")</f>
        <v/>
      </c>
      <c r="J239" s="39" t="n"/>
      <c r="K239" s="39" t="n">
        <v>0</v>
      </c>
      <c r="L239" s="40">
        <f>IF(I239&gt;0, MAX(0, I239-J239-K239), 0)</f>
        <v/>
      </c>
      <c r="M239" s="41" t="n">
        <v>1.25</v>
      </c>
      <c r="N239" s="42">
        <f>L239*M239</f>
        <v/>
      </c>
    </row>
    <row r="240" ht="19" customHeight="1">
      <c r="A240" s="37" t="inlineStr">
        <is>
          <t>14/09/2026</t>
        </is>
      </c>
      <c r="B240" s="37" t="inlineStr">
        <is>
          <t>Lunes</t>
        </is>
      </c>
      <c r="C240" s="37" t="inlineStr">
        <is>
          <t>Sucursal Central</t>
        </is>
      </c>
      <c r="D240" s="37" t="n">
        <v>57</v>
      </c>
      <c r="E240" s="37" t="inlineStr">
        <is>
          <t>Galletas</t>
        </is>
      </c>
      <c r="F240" s="38" t="inlineStr">
        <is>
          <t>Pan Galleta</t>
        </is>
      </c>
      <c r="G240" s="37" t="n">
        <v>20</v>
      </c>
      <c r="H240" s="39" t="n"/>
      <c r="I240" s="39">
        <f>IF(H240&gt;0, H240*G240, "")</f>
        <v/>
      </c>
      <c r="J240" s="39" t="n"/>
      <c r="K240" s="39" t="n">
        <v>0</v>
      </c>
      <c r="L240" s="40">
        <f>IF(I240&gt;0, MAX(0, I240-J240-K240), 0)</f>
        <v/>
      </c>
      <c r="M240" s="41" t="n">
        <v>1.25</v>
      </c>
      <c r="N240" s="42">
        <f>L240*M240</f>
        <v/>
      </c>
    </row>
    <row r="241" ht="19" customHeight="1">
      <c r="A241" s="37" t="inlineStr">
        <is>
          <t>14/09/2026</t>
        </is>
      </c>
      <c r="B241" s="37" t="inlineStr">
        <is>
          <t>Lunes</t>
        </is>
      </c>
      <c r="C241" s="37" t="inlineStr">
        <is>
          <t>Sucursal Central</t>
        </is>
      </c>
      <c r="D241" s="37" t="n">
        <v>58</v>
      </c>
      <c r="E241" s="37" t="inlineStr">
        <is>
          <t>Galletas</t>
        </is>
      </c>
      <c r="F241" s="38" t="inlineStr">
        <is>
          <t>Champurrada Pequeña</t>
        </is>
      </c>
      <c r="G241" s="37" t="n">
        <v>24</v>
      </c>
      <c r="H241" s="39" t="n"/>
      <c r="I241" s="39">
        <f>IF(H241&gt;0, H241*G241, "")</f>
        <v/>
      </c>
      <c r="J241" s="39" t="n"/>
      <c r="K241" s="39" t="n">
        <v>0</v>
      </c>
      <c r="L241" s="40">
        <f>IF(I241&gt;0, MAX(0, I241-J241-K241), 0)</f>
        <v/>
      </c>
      <c r="M241" s="41" t="n">
        <v>0.5</v>
      </c>
      <c r="N241" s="42">
        <f>L241*M241</f>
        <v/>
      </c>
    </row>
    <row r="242" ht="19" customHeight="1">
      <c r="A242" s="37" t="inlineStr">
        <is>
          <t>14/09/2026</t>
        </is>
      </c>
      <c r="B242" s="37" t="inlineStr">
        <is>
          <t>Lunes</t>
        </is>
      </c>
      <c r="C242" s="37" t="inlineStr">
        <is>
          <t>Sucursal Central</t>
        </is>
      </c>
      <c r="D242" s="37" t="n">
        <v>59</v>
      </c>
      <c r="E242" s="37" t="inlineStr">
        <is>
          <t>Galletas</t>
        </is>
      </c>
      <c r="F242" s="38" t="inlineStr">
        <is>
          <t>Champurrada Grande</t>
        </is>
      </c>
      <c r="G242" s="37" t="n">
        <v>15</v>
      </c>
      <c r="H242" s="39" t="n"/>
      <c r="I242" s="39">
        <f>IF(H242&gt;0, H242*G242, "")</f>
        <v/>
      </c>
      <c r="J242" s="39" t="n"/>
      <c r="K242" s="39" t="n">
        <v>0</v>
      </c>
      <c r="L242" s="40">
        <f>IF(I242&gt;0, MAX(0, I242-J242-K242), 0)</f>
        <v/>
      </c>
      <c r="M242" s="41" t="n">
        <v>1.25</v>
      </c>
      <c r="N242" s="42">
        <f>L242*M242</f>
        <v/>
      </c>
    </row>
    <row r="243" ht="19" customHeight="1">
      <c r="A243" s="37" t="inlineStr">
        <is>
          <t>14/09/2026</t>
        </is>
      </c>
      <c r="B243" s="37" t="inlineStr">
        <is>
          <t>Lunes</t>
        </is>
      </c>
      <c r="C243" s="37" t="inlineStr">
        <is>
          <t>Sucursal Central</t>
        </is>
      </c>
      <c r="D243" s="37" t="n">
        <v>60</v>
      </c>
      <c r="E243" s="37" t="inlineStr">
        <is>
          <t>Reposteria</t>
        </is>
      </c>
      <c r="F243" s="38" t="inlineStr">
        <is>
          <t>Cubilete de Vainilla</t>
        </is>
      </c>
      <c r="G243" s="37" t="n">
        <v>30</v>
      </c>
      <c r="H243" s="39" t="n"/>
      <c r="I243" s="39">
        <f>IF(H243&gt;0, H243*G243, "")</f>
        <v/>
      </c>
      <c r="J243" s="39" t="n"/>
      <c r="K243" s="39" t="n">
        <v>0</v>
      </c>
      <c r="L243" s="40">
        <f>IF(I243&gt;0, MAX(0, I243-J243-K243), 0)</f>
        <v/>
      </c>
      <c r="M243" s="41" t="n">
        <v>2</v>
      </c>
      <c r="N243" s="42">
        <f>L243*M243</f>
        <v/>
      </c>
    </row>
    <row r="244" ht="19" customHeight="1">
      <c r="A244" s="37" t="inlineStr">
        <is>
          <t>14/09/2026</t>
        </is>
      </c>
      <c r="B244" s="37" t="inlineStr">
        <is>
          <t>Lunes</t>
        </is>
      </c>
      <c r="C244" s="37" t="inlineStr">
        <is>
          <t>Sucursal Central</t>
        </is>
      </c>
      <c r="D244" s="37" t="n">
        <v>61</v>
      </c>
      <c r="E244" s="37" t="inlineStr">
        <is>
          <t>Reposteria</t>
        </is>
      </c>
      <c r="F244" s="38" t="inlineStr">
        <is>
          <t>Cubilete de Banano</t>
        </is>
      </c>
      <c r="G244" s="37" t="n">
        <v>30</v>
      </c>
      <c r="H244" s="39" t="n"/>
      <c r="I244" s="39">
        <f>IF(H244&gt;0, H244*G244, "")</f>
        <v/>
      </c>
      <c r="J244" s="39" t="n"/>
      <c r="K244" s="39" t="n">
        <v>0</v>
      </c>
      <c r="L244" s="40">
        <f>IF(I244&gt;0, MAX(0, I244-J244-K244), 0)</f>
        <v/>
      </c>
      <c r="M244" s="41" t="n">
        <v>2</v>
      </c>
      <c r="N244" s="42">
        <f>L244*M244</f>
        <v/>
      </c>
    </row>
    <row r="245" ht="19" customHeight="1">
      <c r="A245" s="37" t="inlineStr">
        <is>
          <t>14/09/2026</t>
        </is>
      </c>
      <c r="B245" s="37" t="inlineStr">
        <is>
          <t>Lunes</t>
        </is>
      </c>
      <c r="C245" s="37" t="inlineStr">
        <is>
          <t>Sucursal Central</t>
        </is>
      </c>
      <c r="D245" s="37" t="n">
        <v>62</v>
      </c>
      <c r="E245" s="37" t="inlineStr">
        <is>
          <t>Reposteria</t>
        </is>
      </c>
      <c r="F245" s="38" t="inlineStr">
        <is>
          <t>Empanada de Piña</t>
        </is>
      </c>
      <c r="G245" s="37" t="n">
        <v>16</v>
      </c>
      <c r="H245" s="39" t="n"/>
      <c r="I245" s="39">
        <f>IF(H245&gt;0, H245*G245, "")</f>
        <v/>
      </c>
      <c r="J245" s="39" t="n"/>
      <c r="K245" s="39" t="n">
        <v>0</v>
      </c>
      <c r="L245" s="40">
        <f>IF(I245&gt;0, MAX(0, I245-J245-K245), 0)</f>
        <v/>
      </c>
      <c r="M245" s="41" t="n">
        <v>2.5</v>
      </c>
      <c r="N245" s="42">
        <f>L245*M245</f>
        <v/>
      </c>
    </row>
    <row r="246" ht="19" customHeight="1">
      <c r="A246" s="37" t="inlineStr">
        <is>
          <t>14/09/2026</t>
        </is>
      </c>
      <c r="B246" s="37" t="inlineStr">
        <is>
          <t>Lunes</t>
        </is>
      </c>
      <c r="C246" s="37" t="inlineStr">
        <is>
          <t>Sucursal Central</t>
        </is>
      </c>
      <c r="D246" s="37" t="n">
        <v>63</v>
      </c>
      <c r="E246" s="37" t="inlineStr">
        <is>
          <t>Reposteria</t>
        </is>
      </c>
      <c r="F246" s="38" t="inlineStr">
        <is>
          <t>Empanada de Manjar</t>
        </is>
      </c>
      <c r="G246" s="37" t="n">
        <v>16</v>
      </c>
      <c r="H246" s="39" t="n"/>
      <c r="I246" s="39">
        <f>IF(H246&gt;0, H246*G246, "")</f>
        <v/>
      </c>
      <c r="J246" s="39" t="n"/>
      <c r="K246" s="39" t="n">
        <v>0</v>
      </c>
      <c r="L246" s="40">
        <f>IF(I246&gt;0, MAX(0, I246-J246-K246), 0)</f>
        <v/>
      </c>
      <c r="M246" s="41" t="n">
        <v>2.5</v>
      </c>
      <c r="N246" s="42">
        <f>L246*M246</f>
        <v/>
      </c>
    </row>
    <row r="247" ht="19" customHeight="1">
      <c r="A247" s="37" t="inlineStr">
        <is>
          <t>14/09/2026</t>
        </is>
      </c>
      <c r="B247" s="37" t="inlineStr">
        <is>
          <t>Lunes</t>
        </is>
      </c>
      <c r="C247" s="37" t="inlineStr">
        <is>
          <t>Sucursal Central</t>
        </is>
      </c>
      <c r="D247" s="37" t="n">
        <v>64</v>
      </c>
      <c r="E247" s="37" t="inlineStr">
        <is>
          <t>Galletas</t>
        </is>
      </c>
      <c r="F247" s="38" t="inlineStr">
        <is>
          <t>Polvorosa Tradicional</t>
        </is>
      </c>
      <c r="G247" s="37" t="n">
        <v>15</v>
      </c>
      <c r="H247" s="39" t="n"/>
      <c r="I247" s="39">
        <f>IF(H247&gt;0, H247*G247, "")</f>
        <v/>
      </c>
      <c r="J247" s="39" t="n"/>
      <c r="K247" s="39" t="n">
        <v>0</v>
      </c>
      <c r="L247" s="40">
        <f>IF(I247&gt;0, MAX(0, I247-J247-K247), 0)</f>
        <v/>
      </c>
      <c r="M247" s="41" t="n">
        <v>1.25</v>
      </c>
      <c r="N247" s="42">
        <f>L247*M247</f>
        <v/>
      </c>
    </row>
    <row r="248" ht="19" customHeight="1">
      <c r="A248" s="37" t="inlineStr">
        <is>
          <t>14/09/2026</t>
        </is>
      </c>
      <c r="B248" s="37" t="inlineStr">
        <is>
          <t>Lunes</t>
        </is>
      </c>
      <c r="C248" s="37" t="inlineStr">
        <is>
          <t>Sucursal Central</t>
        </is>
      </c>
      <c r="D248" s="37" t="n">
        <v>65</v>
      </c>
      <c r="E248" s="37" t="inlineStr">
        <is>
          <t>Donas</t>
        </is>
      </c>
      <c r="F248" s="38" t="inlineStr">
        <is>
          <t>Dona Simple Glaseada</t>
        </is>
      </c>
      <c r="G248" s="37" t="n">
        <v>24</v>
      </c>
      <c r="H248" s="39" t="n"/>
      <c r="I248" s="39">
        <f>IF(H248&gt;0, H248*G248, "")</f>
        <v/>
      </c>
      <c r="J248" s="39" t="n"/>
      <c r="K248" s="39" t="n">
        <v>0</v>
      </c>
      <c r="L248" s="40">
        <f>IF(I248&gt;0, MAX(0, I248-J248-K248), 0)</f>
        <v/>
      </c>
      <c r="M248" s="41" t="n">
        <v>2.5</v>
      </c>
      <c r="N248" s="42">
        <f>L248*M248</f>
        <v/>
      </c>
    </row>
    <row r="249" ht="19" customHeight="1">
      <c r="A249" s="37" t="inlineStr">
        <is>
          <t>14/09/2026</t>
        </is>
      </c>
      <c r="B249" s="37" t="inlineStr">
        <is>
          <t>Lunes</t>
        </is>
      </c>
      <c r="C249" s="37" t="inlineStr">
        <is>
          <t>Sucursal Central</t>
        </is>
      </c>
      <c r="D249" s="37" t="n">
        <v>66</v>
      </c>
      <c r="E249" s="37" t="inlineStr">
        <is>
          <t>Donas</t>
        </is>
      </c>
      <c r="F249" s="38" t="inlineStr">
        <is>
          <t>Dona Rellena de Manjar</t>
        </is>
      </c>
      <c r="G249" s="37" t="n">
        <v>24</v>
      </c>
      <c r="H249" s="39" t="n"/>
      <c r="I249" s="39">
        <f>IF(H249&gt;0, H249*G249, "")</f>
        <v/>
      </c>
      <c r="J249" s="39" t="n"/>
      <c r="K249" s="39" t="n">
        <v>0</v>
      </c>
      <c r="L249" s="40">
        <f>IF(I249&gt;0, MAX(0, I249-J249-K249), 0)</f>
        <v/>
      </c>
      <c r="M249" s="41" t="n">
        <v>4</v>
      </c>
      <c r="N249" s="42">
        <f>L249*M249</f>
        <v/>
      </c>
    </row>
    <row r="250" ht="19" customHeight="1">
      <c r="A250" s="37" t="inlineStr">
        <is>
          <t>14/09/2026</t>
        </is>
      </c>
      <c r="B250" s="37" t="inlineStr">
        <is>
          <t>Lunes</t>
        </is>
      </c>
      <c r="C250" s="37" t="inlineStr">
        <is>
          <t>Sucursal Central</t>
        </is>
      </c>
      <c r="D250" s="37" t="n">
        <v>67</v>
      </c>
      <c r="E250" s="37" t="inlineStr">
        <is>
          <t>Donas</t>
        </is>
      </c>
      <c r="F250" s="38" t="inlineStr">
        <is>
          <t>Dona Rellena de Fresa</t>
        </is>
      </c>
      <c r="G250" s="37" t="n">
        <v>24</v>
      </c>
      <c r="H250" s="39" t="n"/>
      <c r="I250" s="39">
        <f>IF(H250&gt;0, H250*G250, "")</f>
        <v/>
      </c>
      <c r="J250" s="39" t="n"/>
      <c r="K250" s="39" t="n">
        <v>0</v>
      </c>
      <c r="L250" s="40">
        <f>IF(I250&gt;0, MAX(0, I250-J250-K250), 0)</f>
        <v/>
      </c>
      <c r="M250" s="41" t="n">
        <v>4</v>
      </c>
      <c r="N250" s="42">
        <f>L250*M250</f>
        <v/>
      </c>
    </row>
    <row r="251" ht="19" customHeight="1">
      <c r="A251" s="37" t="inlineStr">
        <is>
          <t>14/09/2026</t>
        </is>
      </c>
      <c r="B251" s="37" t="inlineStr">
        <is>
          <t>Lunes</t>
        </is>
      </c>
      <c r="C251" s="37" t="inlineStr">
        <is>
          <t>Sucursal Central</t>
        </is>
      </c>
      <c r="D251" s="37" t="n">
        <v>68</v>
      </c>
      <c r="E251" s="37" t="inlineStr">
        <is>
          <t>Pan Dulce</t>
        </is>
      </c>
      <c r="F251" s="38" t="inlineStr">
        <is>
          <t>Campechana</t>
        </is>
      </c>
      <c r="G251" s="37" t="n">
        <v>20</v>
      </c>
      <c r="H251" s="39" t="n"/>
      <c r="I251" s="39">
        <f>IF(H251&gt;0, H251*G251, "")</f>
        <v/>
      </c>
      <c r="J251" s="39" t="n"/>
      <c r="K251" s="39" t="n">
        <v>0</v>
      </c>
      <c r="L251" s="40">
        <f>IF(I251&gt;0, MAX(0, I251-J251-K251), 0)</f>
        <v/>
      </c>
      <c r="M251" s="41" t="n">
        <v>1.25</v>
      </c>
      <c r="N251" s="42">
        <f>L251*M251</f>
        <v/>
      </c>
    </row>
    <row r="252" ht="19" customHeight="1">
      <c r="A252" s="37" t="inlineStr">
        <is>
          <t>14/09/2026</t>
        </is>
      </c>
      <c r="B252" s="37" t="inlineStr">
        <is>
          <t>Lunes</t>
        </is>
      </c>
      <c r="C252" s="37" t="inlineStr">
        <is>
          <t>Sucursal Central</t>
        </is>
      </c>
      <c r="D252" s="37" t="n">
        <v>69</v>
      </c>
      <c r="E252" s="37" t="inlineStr">
        <is>
          <t>Pan Dulce</t>
        </is>
      </c>
      <c r="F252" s="38" t="inlineStr">
        <is>
          <t>Pasitas</t>
        </is>
      </c>
      <c r="G252" s="37" t="n">
        <v>30</v>
      </c>
      <c r="H252" s="39" t="n"/>
      <c r="I252" s="39">
        <f>IF(H252&gt;0, H252*G252, "")</f>
        <v/>
      </c>
      <c r="J252" s="39" t="n"/>
      <c r="K252" s="39" t="n">
        <v>0</v>
      </c>
      <c r="L252" s="40">
        <f>IF(I252&gt;0, MAX(0, I252-J252-K252), 0)</f>
        <v/>
      </c>
      <c r="M252" s="41" t="n">
        <v>0.75</v>
      </c>
      <c r="N252" s="42">
        <f>L252*M252</f>
        <v/>
      </c>
    </row>
    <row r="253" ht="19" customHeight="1">
      <c r="A253" s="37" t="inlineStr">
        <is>
          <t>14/09/2026</t>
        </is>
      </c>
      <c r="B253" s="37" t="inlineStr">
        <is>
          <t>Lunes</t>
        </is>
      </c>
      <c r="C253" s="37" t="inlineStr">
        <is>
          <t>Sucursal Central</t>
        </is>
      </c>
      <c r="D253" s="37" t="n">
        <v>70</v>
      </c>
      <c r="E253" s="37" t="inlineStr">
        <is>
          <t>Reposteria</t>
        </is>
      </c>
      <c r="F253" s="38" t="inlineStr">
        <is>
          <t>Cortada de Fresa</t>
        </is>
      </c>
      <c r="G253" s="37" t="n">
        <v>14</v>
      </c>
      <c r="H253" s="39" t="n"/>
      <c r="I253" s="39">
        <f>IF(H253&gt;0, H253*G253, "")</f>
        <v/>
      </c>
      <c r="J253" s="39" t="n"/>
      <c r="K253" s="39" t="n">
        <v>0</v>
      </c>
      <c r="L253" s="40">
        <f>IF(I253&gt;0, MAX(0, I253-J253-K253), 0)</f>
        <v/>
      </c>
      <c r="M253" s="41" t="n">
        <v>2.5</v>
      </c>
      <c r="N253" s="42">
        <f>L253*M253</f>
        <v/>
      </c>
    </row>
    <row r="254" ht="19" customHeight="1">
      <c r="A254" s="37" t="inlineStr">
        <is>
          <t>14/09/2026</t>
        </is>
      </c>
      <c r="B254" s="37" t="inlineStr">
        <is>
          <t>Lunes</t>
        </is>
      </c>
      <c r="C254" s="37" t="inlineStr">
        <is>
          <t>Sucursal Central</t>
        </is>
      </c>
      <c r="D254" s="37" t="n">
        <v>71</v>
      </c>
      <c r="E254" s="37" t="inlineStr">
        <is>
          <t>Reposteria</t>
        </is>
      </c>
      <c r="F254" s="38" t="inlineStr">
        <is>
          <t>Cortada de Chocolate</t>
        </is>
      </c>
      <c r="G254" s="37" t="n">
        <v>14</v>
      </c>
      <c r="H254" s="39" t="n"/>
      <c r="I254" s="39">
        <f>IF(H254&gt;0, H254*G254, "")</f>
        <v/>
      </c>
      <c r="J254" s="39" t="n"/>
      <c r="K254" s="39" t="n">
        <v>0</v>
      </c>
      <c r="L254" s="40">
        <f>IF(I254&gt;0, MAX(0, I254-J254-K254), 0)</f>
        <v/>
      </c>
      <c r="M254" s="41" t="n">
        <v>2.5</v>
      </c>
      <c r="N254" s="42">
        <f>L254*M254</f>
        <v/>
      </c>
    </row>
    <row r="255" ht="19" customHeight="1">
      <c r="A255" s="31" t="inlineStr">
        <is>
          <t>15/09/2026</t>
        </is>
      </c>
      <c r="B255" s="31" t="inlineStr">
        <is>
          <t>Martes</t>
        </is>
      </c>
      <c r="C255" s="31" t="inlineStr">
        <is>
          <t>Sucursal Central</t>
        </is>
      </c>
      <c r="D255" s="31" t="n">
        <v>54</v>
      </c>
      <c r="E255" s="31" t="inlineStr">
        <is>
          <t>Pan</t>
        </is>
      </c>
      <c r="F255" s="32" t="inlineStr">
        <is>
          <t>Pan Francés Tradicional</t>
        </is>
      </c>
      <c r="G255" s="31" t="n">
        <v>36</v>
      </c>
      <c r="H255" s="33" t="n"/>
      <c r="I255" s="33">
        <f>IF(H255&gt;0, H255*G255, "")</f>
        <v/>
      </c>
      <c r="J255" s="33" t="n"/>
      <c r="K255" s="33" t="n">
        <v>0</v>
      </c>
      <c r="L255" s="34">
        <f>IF(I255&gt;0, MAX(0, I255-J255-K255), 0)</f>
        <v/>
      </c>
      <c r="M255" s="35" t="n">
        <v>0.5</v>
      </c>
      <c r="N255" s="36">
        <f>L255*M255</f>
        <v/>
      </c>
    </row>
    <row r="256" ht="19" customHeight="1">
      <c r="A256" s="31" t="inlineStr">
        <is>
          <t>15/09/2026</t>
        </is>
      </c>
      <c r="B256" s="31" t="inlineStr">
        <is>
          <t>Martes</t>
        </is>
      </c>
      <c r="C256" s="31" t="inlineStr">
        <is>
          <t>Sucursal Central</t>
        </is>
      </c>
      <c r="D256" s="31" t="n">
        <v>55</v>
      </c>
      <c r="E256" s="31" t="inlineStr">
        <is>
          <t>Pan Dulce</t>
        </is>
      </c>
      <c r="F256" s="32" t="inlineStr">
        <is>
          <t>Pan Dulce Pequeño</t>
        </is>
      </c>
      <c r="G256" s="31" t="n">
        <v>40</v>
      </c>
      <c r="H256" s="33" t="n"/>
      <c r="I256" s="33">
        <f>IF(H256&gt;0, H256*G256, "")</f>
        <v/>
      </c>
      <c r="J256" s="33" t="n"/>
      <c r="K256" s="33" t="n">
        <v>0</v>
      </c>
      <c r="L256" s="34">
        <f>IF(I256&gt;0, MAX(0, I256-J256-K256), 0)</f>
        <v/>
      </c>
      <c r="M256" s="35" t="n">
        <v>0.5</v>
      </c>
      <c r="N256" s="36">
        <f>L256*M256</f>
        <v/>
      </c>
    </row>
    <row r="257" ht="19" customHeight="1">
      <c r="A257" s="31" t="inlineStr">
        <is>
          <t>15/09/2026</t>
        </is>
      </c>
      <c r="B257" s="31" t="inlineStr">
        <is>
          <t>Martes</t>
        </is>
      </c>
      <c r="C257" s="31" t="inlineStr">
        <is>
          <t>Sucursal Central</t>
        </is>
      </c>
      <c r="D257" s="31" t="n">
        <v>56</v>
      </c>
      <c r="E257" s="31" t="inlineStr">
        <is>
          <t>Pan Dulce</t>
        </is>
      </c>
      <c r="F257" s="32" t="inlineStr">
        <is>
          <t>Pan Dulce Grande</t>
        </is>
      </c>
      <c r="G257" s="31" t="n">
        <v>20</v>
      </c>
      <c r="H257" s="33" t="n"/>
      <c r="I257" s="33">
        <f>IF(H257&gt;0, H257*G257, "")</f>
        <v/>
      </c>
      <c r="J257" s="33" t="n"/>
      <c r="K257" s="33" t="n">
        <v>0</v>
      </c>
      <c r="L257" s="34">
        <f>IF(I257&gt;0, MAX(0, I257-J257-K257), 0)</f>
        <v/>
      </c>
      <c r="M257" s="35" t="n">
        <v>1.25</v>
      </c>
      <c r="N257" s="36">
        <f>L257*M257</f>
        <v/>
      </c>
    </row>
    <row r="258" ht="19" customHeight="1">
      <c r="A258" s="31" t="inlineStr">
        <is>
          <t>15/09/2026</t>
        </is>
      </c>
      <c r="B258" s="31" t="inlineStr">
        <is>
          <t>Martes</t>
        </is>
      </c>
      <c r="C258" s="31" t="inlineStr">
        <is>
          <t>Sucursal Central</t>
        </is>
      </c>
      <c r="D258" s="31" t="n">
        <v>57</v>
      </c>
      <c r="E258" s="31" t="inlineStr">
        <is>
          <t>Galletas</t>
        </is>
      </c>
      <c r="F258" s="32" t="inlineStr">
        <is>
          <t>Pan Galleta</t>
        </is>
      </c>
      <c r="G258" s="31" t="n">
        <v>20</v>
      </c>
      <c r="H258" s="33" t="n"/>
      <c r="I258" s="33">
        <f>IF(H258&gt;0, H258*G258, "")</f>
        <v/>
      </c>
      <c r="J258" s="33" t="n"/>
      <c r="K258" s="33" t="n">
        <v>0</v>
      </c>
      <c r="L258" s="34">
        <f>IF(I258&gt;0, MAX(0, I258-J258-K258), 0)</f>
        <v/>
      </c>
      <c r="M258" s="35" t="n">
        <v>1.25</v>
      </c>
      <c r="N258" s="36">
        <f>L258*M258</f>
        <v/>
      </c>
    </row>
    <row r="259" ht="19" customHeight="1">
      <c r="A259" s="31" t="inlineStr">
        <is>
          <t>15/09/2026</t>
        </is>
      </c>
      <c r="B259" s="31" t="inlineStr">
        <is>
          <t>Martes</t>
        </is>
      </c>
      <c r="C259" s="31" t="inlineStr">
        <is>
          <t>Sucursal Central</t>
        </is>
      </c>
      <c r="D259" s="31" t="n">
        <v>58</v>
      </c>
      <c r="E259" s="31" t="inlineStr">
        <is>
          <t>Galletas</t>
        </is>
      </c>
      <c r="F259" s="32" t="inlineStr">
        <is>
          <t>Champurrada Pequeña</t>
        </is>
      </c>
      <c r="G259" s="31" t="n">
        <v>24</v>
      </c>
      <c r="H259" s="33" t="n"/>
      <c r="I259" s="33">
        <f>IF(H259&gt;0, H259*G259, "")</f>
        <v/>
      </c>
      <c r="J259" s="33" t="n"/>
      <c r="K259" s="33" t="n">
        <v>0</v>
      </c>
      <c r="L259" s="34">
        <f>IF(I259&gt;0, MAX(0, I259-J259-K259), 0)</f>
        <v/>
      </c>
      <c r="M259" s="35" t="n">
        <v>0.5</v>
      </c>
      <c r="N259" s="36">
        <f>L259*M259</f>
        <v/>
      </c>
    </row>
    <row r="260" ht="19" customHeight="1">
      <c r="A260" s="31" t="inlineStr">
        <is>
          <t>15/09/2026</t>
        </is>
      </c>
      <c r="B260" s="31" t="inlineStr">
        <is>
          <t>Martes</t>
        </is>
      </c>
      <c r="C260" s="31" t="inlineStr">
        <is>
          <t>Sucursal Central</t>
        </is>
      </c>
      <c r="D260" s="31" t="n">
        <v>59</v>
      </c>
      <c r="E260" s="31" t="inlineStr">
        <is>
          <t>Galletas</t>
        </is>
      </c>
      <c r="F260" s="32" t="inlineStr">
        <is>
          <t>Champurrada Grande</t>
        </is>
      </c>
      <c r="G260" s="31" t="n">
        <v>15</v>
      </c>
      <c r="H260" s="33" t="n"/>
      <c r="I260" s="33">
        <f>IF(H260&gt;0, H260*G260, "")</f>
        <v/>
      </c>
      <c r="J260" s="33" t="n"/>
      <c r="K260" s="33" t="n">
        <v>0</v>
      </c>
      <c r="L260" s="34">
        <f>IF(I260&gt;0, MAX(0, I260-J260-K260), 0)</f>
        <v/>
      </c>
      <c r="M260" s="35" t="n">
        <v>1.25</v>
      </c>
      <c r="N260" s="36">
        <f>L260*M260</f>
        <v/>
      </c>
    </row>
    <row r="261" ht="19" customHeight="1">
      <c r="A261" s="31" t="inlineStr">
        <is>
          <t>15/09/2026</t>
        </is>
      </c>
      <c r="B261" s="31" t="inlineStr">
        <is>
          <t>Martes</t>
        </is>
      </c>
      <c r="C261" s="31" t="inlineStr">
        <is>
          <t>Sucursal Central</t>
        </is>
      </c>
      <c r="D261" s="31" t="n">
        <v>60</v>
      </c>
      <c r="E261" s="31" t="inlineStr">
        <is>
          <t>Reposteria</t>
        </is>
      </c>
      <c r="F261" s="32" t="inlineStr">
        <is>
          <t>Cubilete de Vainilla</t>
        </is>
      </c>
      <c r="G261" s="31" t="n">
        <v>30</v>
      </c>
      <c r="H261" s="33" t="n"/>
      <c r="I261" s="33">
        <f>IF(H261&gt;0, H261*G261, "")</f>
        <v/>
      </c>
      <c r="J261" s="33" t="n"/>
      <c r="K261" s="33" t="n">
        <v>0</v>
      </c>
      <c r="L261" s="34">
        <f>IF(I261&gt;0, MAX(0, I261-J261-K261), 0)</f>
        <v/>
      </c>
      <c r="M261" s="35" t="n">
        <v>2</v>
      </c>
      <c r="N261" s="36">
        <f>L261*M261</f>
        <v/>
      </c>
    </row>
    <row r="262" ht="19" customHeight="1">
      <c r="A262" s="31" t="inlineStr">
        <is>
          <t>15/09/2026</t>
        </is>
      </c>
      <c r="B262" s="31" t="inlineStr">
        <is>
          <t>Martes</t>
        </is>
      </c>
      <c r="C262" s="31" t="inlineStr">
        <is>
          <t>Sucursal Central</t>
        </is>
      </c>
      <c r="D262" s="31" t="n">
        <v>61</v>
      </c>
      <c r="E262" s="31" t="inlineStr">
        <is>
          <t>Reposteria</t>
        </is>
      </c>
      <c r="F262" s="32" t="inlineStr">
        <is>
          <t>Cubilete de Banano</t>
        </is>
      </c>
      <c r="G262" s="31" t="n">
        <v>30</v>
      </c>
      <c r="H262" s="33" t="n"/>
      <c r="I262" s="33">
        <f>IF(H262&gt;0, H262*G262, "")</f>
        <v/>
      </c>
      <c r="J262" s="33" t="n"/>
      <c r="K262" s="33" t="n">
        <v>0</v>
      </c>
      <c r="L262" s="34">
        <f>IF(I262&gt;0, MAX(0, I262-J262-K262), 0)</f>
        <v/>
      </c>
      <c r="M262" s="35" t="n">
        <v>2</v>
      </c>
      <c r="N262" s="36">
        <f>L262*M262</f>
        <v/>
      </c>
    </row>
    <row r="263" ht="19" customHeight="1">
      <c r="A263" s="31" t="inlineStr">
        <is>
          <t>15/09/2026</t>
        </is>
      </c>
      <c r="B263" s="31" t="inlineStr">
        <is>
          <t>Martes</t>
        </is>
      </c>
      <c r="C263" s="31" t="inlineStr">
        <is>
          <t>Sucursal Central</t>
        </is>
      </c>
      <c r="D263" s="31" t="n">
        <v>62</v>
      </c>
      <c r="E263" s="31" t="inlineStr">
        <is>
          <t>Reposteria</t>
        </is>
      </c>
      <c r="F263" s="32" t="inlineStr">
        <is>
          <t>Empanada de Piña</t>
        </is>
      </c>
      <c r="G263" s="31" t="n">
        <v>16</v>
      </c>
      <c r="H263" s="33" t="n"/>
      <c r="I263" s="33">
        <f>IF(H263&gt;0, H263*G263, "")</f>
        <v/>
      </c>
      <c r="J263" s="33" t="n"/>
      <c r="K263" s="33" t="n">
        <v>0</v>
      </c>
      <c r="L263" s="34">
        <f>IF(I263&gt;0, MAX(0, I263-J263-K263), 0)</f>
        <v/>
      </c>
      <c r="M263" s="35" t="n">
        <v>2.5</v>
      </c>
      <c r="N263" s="36">
        <f>L263*M263</f>
        <v/>
      </c>
    </row>
    <row r="264" ht="19" customHeight="1">
      <c r="A264" s="31" t="inlineStr">
        <is>
          <t>15/09/2026</t>
        </is>
      </c>
      <c r="B264" s="31" t="inlineStr">
        <is>
          <t>Martes</t>
        </is>
      </c>
      <c r="C264" s="31" t="inlineStr">
        <is>
          <t>Sucursal Central</t>
        </is>
      </c>
      <c r="D264" s="31" t="n">
        <v>63</v>
      </c>
      <c r="E264" s="31" t="inlineStr">
        <is>
          <t>Reposteria</t>
        </is>
      </c>
      <c r="F264" s="32" t="inlineStr">
        <is>
          <t>Empanada de Manjar</t>
        </is>
      </c>
      <c r="G264" s="31" t="n">
        <v>16</v>
      </c>
      <c r="H264" s="33" t="n"/>
      <c r="I264" s="33">
        <f>IF(H264&gt;0, H264*G264, "")</f>
        <v/>
      </c>
      <c r="J264" s="33" t="n"/>
      <c r="K264" s="33" t="n">
        <v>0</v>
      </c>
      <c r="L264" s="34">
        <f>IF(I264&gt;0, MAX(0, I264-J264-K264), 0)</f>
        <v/>
      </c>
      <c r="M264" s="35" t="n">
        <v>2.5</v>
      </c>
      <c r="N264" s="36">
        <f>L264*M264</f>
        <v/>
      </c>
    </row>
    <row r="265" ht="19" customHeight="1">
      <c r="A265" s="31" t="inlineStr">
        <is>
          <t>15/09/2026</t>
        </is>
      </c>
      <c r="B265" s="31" t="inlineStr">
        <is>
          <t>Martes</t>
        </is>
      </c>
      <c r="C265" s="31" t="inlineStr">
        <is>
          <t>Sucursal Central</t>
        </is>
      </c>
      <c r="D265" s="31" t="n">
        <v>64</v>
      </c>
      <c r="E265" s="31" t="inlineStr">
        <is>
          <t>Galletas</t>
        </is>
      </c>
      <c r="F265" s="32" t="inlineStr">
        <is>
          <t>Polvorosa Tradicional</t>
        </is>
      </c>
      <c r="G265" s="31" t="n">
        <v>15</v>
      </c>
      <c r="H265" s="33" t="n"/>
      <c r="I265" s="33">
        <f>IF(H265&gt;0, H265*G265, "")</f>
        <v/>
      </c>
      <c r="J265" s="33" t="n"/>
      <c r="K265" s="33" t="n">
        <v>0</v>
      </c>
      <c r="L265" s="34">
        <f>IF(I265&gt;0, MAX(0, I265-J265-K265), 0)</f>
        <v/>
      </c>
      <c r="M265" s="35" t="n">
        <v>1.25</v>
      </c>
      <c r="N265" s="36">
        <f>L265*M265</f>
        <v/>
      </c>
    </row>
    <row r="266" ht="19" customHeight="1">
      <c r="A266" s="31" t="inlineStr">
        <is>
          <t>15/09/2026</t>
        </is>
      </c>
      <c r="B266" s="31" t="inlineStr">
        <is>
          <t>Martes</t>
        </is>
      </c>
      <c r="C266" s="31" t="inlineStr">
        <is>
          <t>Sucursal Central</t>
        </is>
      </c>
      <c r="D266" s="31" t="n">
        <v>65</v>
      </c>
      <c r="E266" s="31" t="inlineStr">
        <is>
          <t>Donas</t>
        </is>
      </c>
      <c r="F266" s="32" t="inlineStr">
        <is>
          <t>Dona Simple Glaseada</t>
        </is>
      </c>
      <c r="G266" s="31" t="n">
        <v>24</v>
      </c>
      <c r="H266" s="33" t="n"/>
      <c r="I266" s="33">
        <f>IF(H266&gt;0, H266*G266, "")</f>
        <v/>
      </c>
      <c r="J266" s="33" t="n"/>
      <c r="K266" s="33" t="n">
        <v>0</v>
      </c>
      <c r="L266" s="34">
        <f>IF(I266&gt;0, MAX(0, I266-J266-K266), 0)</f>
        <v/>
      </c>
      <c r="M266" s="35" t="n">
        <v>2.5</v>
      </c>
      <c r="N266" s="36">
        <f>L266*M266</f>
        <v/>
      </c>
    </row>
    <row r="267" ht="19" customHeight="1">
      <c r="A267" s="31" t="inlineStr">
        <is>
          <t>15/09/2026</t>
        </is>
      </c>
      <c r="B267" s="31" t="inlineStr">
        <is>
          <t>Martes</t>
        </is>
      </c>
      <c r="C267" s="31" t="inlineStr">
        <is>
          <t>Sucursal Central</t>
        </is>
      </c>
      <c r="D267" s="31" t="n">
        <v>66</v>
      </c>
      <c r="E267" s="31" t="inlineStr">
        <is>
          <t>Donas</t>
        </is>
      </c>
      <c r="F267" s="32" t="inlineStr">
        <is>
          <t>Dona Rellena de Manjar</t>
        </is>
      </c>
      <c r="G267" s="31" t="n">
        <v>24</v>
      </c>
      <c r="H267" s="33" t="n"/>
      <c r="I267" s="33">
        <f>IF(H267&gt;0, H267*G267, "")</f>
        <v/>
      </c>
      <c r="J267" s="33" t="n"/>
      <c r="K267" s="33" t="n">
        <v>0</v>
      </c>
      <c r="L267" s="34">
        <f>IF(I267&gt;0, MAX(0, I267-J267-K267), 0)</f>
        <v/>
      </c>
      <c r="M267" s="35" t="n">
        <v>4</v>
      </c>
      <c r="N267" s="36">
        <f>L267*M267</f>
        <v/>
      </c>
    </row>
    <row r="268" ht="19" customHeight="1">
      <c r="A268" s="31" t="inlineStr">
        <is>
          <t>15/09/2026</t>
        </is>
      </c>
      <c r="B268" s="31" t="inlineStr">
        <is>
          <t>Martes</t>
        </is>
      </c>
      <c r="C268" s="31" t="inlineStr">
        <is>
          <t>Sucursal Central</t>
        </is>
      </c>
      <c r="D268" s="31" t="n">
        <v>67</v>
      </c>
      <c r="E268" s="31" t="inlineStr">
        <is>
          <t>Donas</t>
        </is>
      </c>
      <c r="F268" s="32" t="inlineStr">
        <is>
          <t>Dona Rellena de Fresa</t>
        </is>
      </c>
      <c r="G268" s="31" t="n">
        <v>24</v>
      </c>
      <c r="H268" s="33" t="n"/>
      <c r="I268" s="33">
        <f>IF(H268&gt;0, H268*G268, "")</f>
        <v/>
      </c>
      <c r="J268" s="33" t="n"/>
      <c r="K268" s="33" t="n">
        <v>0</v>
      </c>
      <c r="L268" s="34">
        <f>IF(I268&gt;0, MAX(0, I268-J268-K268), 0)</f>
        <v/>
      </c>
      <c r="M268" s="35" t="n">
        <v>4</v>
      </c>
      <c r="N268" s="36">
        <f>L268*M268</f>
        <v/>
      </c>
    </row>
    <row r="269" ht="19" customHeight="1">
      <c r="A269" s="31" t="inlineStr">
        <is>
          <t>15/09/2026</t>
        </is>
      </c>
      <c r="B269" s="31" t="inlineStr">
        <is>
          <t>Martes</t>
        </is>
      </c>
      <c r="C269" s="31" t="inlineStr">
        <is>
          <t>Sucursal Central</t>
        </is>
      </c>
      <c r="D269" s="31" t="n">
        <v>68</v>
      </c>
      <c r="E269" s="31" t="inlineStr">
        <is>
          <t>Pan Dulce</t>
        </is>
      </c>
      <c r="F269" s="32" t="inlineStr">
        <is>
          <t>Campechana</t>
        </is>
      </c>
      <c r="G269" s="31" t="n">
        <v>20</v>
      </c>
      <c r="H269" s="33" t="n"/>
      <c r="I269" s="33">
        <f>IF(H269&gt;0, H269*G269, "")</f>
        <v/>
      </c>
      <c r="J269" s="33" t="n"/>
      <c r="K269" s="33" t="n">
        <v>0</v>
      </c>
      <c r="L269" s="34">
        <f>IF(I269&gt;0, MAX(0, I269-J269-K269), 0)</f>
        <v/>
      </c>
      <c r="M269" s="35" t="n">
        <v>1.25</v>
      </c>
      <c r="N269" s="36">
        <f>L269*M269</f>
        <v/>
      </c>
    </row>
    <row r="270" ht="19" customHeight="1">
      <c r="A270" s="31" t="inlineStr">
        <is>
          <t>15/09/2026</t>
        </is>
      </c>
      <c r="B270" s="31" t="inlineStr">
        <is>
          <t>Martes</t>
        </is>
      </c>
      <c r="C270" s="31" t="inlineStr">
        <is>
          <t>Sucursal Central</t>
        </is>
      </c>
      <c r="D270" s="31" t="n">
        <v>69</v>
      </c>
      <c r="E270" s="31" t="inlineStr">
        <is>
          <t>Pan Dulce</t>
        </is>
      </c>
      <c r="F270" s="32" t="inlineStr">
        <is>
          <t>Pasitas</t>
        </is>
      </c>
      <c r="G270" s="31" t="n">
        <v>30</v>
      </c>
      <c r="H270" s="33" t="n"/>
      <c r="I270" s="33">
        <f>IF(H270&gt;0, H270*G270, "")</f>
        <v/>
      </c>
      <c r="J270" s="33" t="n"/>
      <c r="K270" s="33" t="n">
        <v>0</v>
      </c>
      <c r="L270" s="34">
        <f>IF(I270&gt;0, MAX(0, I270-J270-K270), 0)</f>
        <v/>
      </c>
      <c r="M270" s="35" t="n">
        <v>0.75</v>
      </c>
      <c r="N270" s="36">
        <f>L270*M270</f>
        <v/>
      </c>
    </row>
    <row r="271" ht="19" customHeight="1">
      <c r="A271" s="31" t="inlineStr">
        <is>
          <t>15/09/2026</t>
        </is>
      </c>
      <c r="B271" s="31" t="inlineStr">
        <is>
          <t>Martes</t>
        </is>
      </c>
      <c r="C271" s="31" t="inlineStr">
        <is>
          <t>Sucursal Central</t>
        </is>
      </c>
      <c r="D271" s="31" t="n">
        <v>70</v>
      </c>
      <c r="E271" s="31" t="inlineStr">
        <is>
          <t>Reposteria</t>
        </is>
      </c>
      <c r="F271" s="32" t="inlineStr">
        <is>
          <t>Cortada de Fresa</t>
        </is>
      </c>
      <c r="G271" s="31" t="n">
        <v>14</v>
      </c>
      <c r="H271" s="33" t="n"/>
      <c r="I271" s="33">
        <f>IF(H271&gt;0, H271*G271, "")</f>
        <v/>
      </c>
      <c r="J271" s="33" t="n"/>
      <c r="K271" s="33" t="n">
        <v>0</v>
      </c>
      <c r="L271" s="34">
        <f>IF(I271&gt;0, MAX(0, I271-J271-K271), 0)</f>
        <v/>
      </c>
      <c r="M271" s="35" t="n">
        <v>2.5</v>
      </c>
      <c r="N271" s="36">
        <f>L271*M271</f>
        <v/>
      </c>
    </row>
    <row r="272" ht="19" customHeight="1">
      <c r="A272" s="31" t="inlineStr">
        <is>
          <t>15/09/2026</t>
        </is>
      </c>
      <c r="B272" s="31" t="inlineStr">
        <is>
          <t>Martes</t>
        </is>
      </c>
      <c r="C272" s="31" t="inlineStr">
        <is>
          <t>Sucursal Central</t>
        </is>
      </c>
      <c r="D272" s="31" t="n">
        <v>71</v>
      </c>
      <c r="E272" s="31" t="inlineStr">
        <is>
          <t>Reposteria</t>
        </is>
      </c>
      <c r="F272" s="32" t="inlineStr">
        <is>
          <t>Cortada de Chocolate</t>
        </is>
      </c>
      <c r="G272" s="31" t="n">
        <v>14</v>
      </c>
      <c r="H272" s="33" t="n"/>
      <c r="I272" s="33">
        <f>IF(H272&gt;0, H272*G272, "")</f>
        <v/>
      </c>
      <c r="J272" s="33" t="n"/>
      <c r="K272" s="33" t="n">
        <v>0</v>
      </c>
      <c r="L272" s="34">
        <f>IF(I272&gt;0, MAX(0, I272-J272-K272), 0)</f>
        <v/>
      </c>
      <c r="M272" s="35" t="n">
        <v>2.5</v>
      </c>
      <c r="N272" s="36">
        <f>L272*M272</f>
        <v/>
      </c>
    </row>
    <row r="273" ht="19" customHeight="1">
      <c r="A273" s="37" t="inlineStr">
        <is>
          <t>16/09/2026</t>
        </is>
      </c>
      <c r="B273" s="37" t="inlineStr">
        <is>
          <t>Miércoles</t>
        </is>
      </c>
      <c r="C273" s="37" t="inlineStr">
        <is>
          <t>Sucursal Central</t>
        </is>
      </c>
      <c r="D273" s="37" t="n">
        <v>54</v>
      </c>
      <c r="E273" s="37" t="inlineStr">
        <is>
          <t>Pan</t>
        </is>
      </c>
      <c r="F273" s="38" t="inlineStr">
        <is>
          <t>Pan Francés Tradicional</t>
        </is>
      </c>
      <c r="G273" s="37" t="n">
        <v>36</v>
      </c>
      <c r="H273" s="39" t="n"/>
      <c r="I273" s="39">
        <f>IF(H273&gt;0, H273*G273, "")</f>
        <v/>
      </c>
      <c r="J273" s="39" t="n"/>
      <c r="K273" s="39" t="n">
        <v>0</v>
      </c>
      <c r="L273" s="40">
        <f>IF(I273&gt;0, MAX(0, I273-J273-K273), 0)</f>
        <v/>
      </c>
      <c r="M273" s="41" t="n">
        <v>0.5</v>
      </c>
      <c r="N273" s="42">
        <f>L273*M273</f>
        <v/>
      </c>
    </row>
    <row r="274" ht="19" customHeight="1">
      <c r="A274" s="37" t="inlineStr">
        <is>
          <t>16/09/2026</t>
        </is>
      </c>
      <c r="B274" s="37" t="inlineStr">
        <is>
          <t>Miércoles</t>
        </is>
      </c>
      <c r="C274" s="37" t="inlineStr">
        <is>
          <t>Sucursal Central</t>
        </is>
      </c>
      <c r="D274" s="37" t="n">
        <v>55</v>
      </c>
      <c r="E274" s="37" t="inlineStr">
        <is>
          <t>Pan Dulce</t>
        </is>
      </c>
      <c r="F274" s="38" t="inlineStr">
        <is>
          <t>Pan Dulce Pequeño</t>
        </is>
      </c>
      <c r="G274" s="37" t="n">
        <v>40</v>
      </c>
      <c r="H274" s="39" t="n"/>
      <c r="I274" s="39">
        <f>IF(H274&gt;0, H274*G274, "")</f>
        <v/>
      </c>
      <c r="J274" s="39" t="n"/>
      <c r="K274" s="39" t="n">
        <v>0</v>
      </c>
      <c r="L274" s="40">
        <f>IF(I274&gt;0, MAX(0, I274-J274-K274), 0)</f>
        <v/>
      </c>
      <c r="M274" s="41" t="n">
        <v>0.5</v>
      </c>
      <c r="N274" s="42">
        <f>L274*M274</f>
        <v/>
      </c>
    </row>
    <row r="275" ht="19" customHeight="1">
      <c r="A275" s="37" t="inlineStr">
        <is>
          <t>16/09/2026</t>
        </is>
      </c>
      <c r="B275" s="37" t="inlineStr">
        <is>
          <t>Miércoles</t>
        </is>
      </c>
      <c r="C275" s="37" t="inlineStr">
        <is>
          <t>Sucursal Central</t>
        </is>
      </c>
      <c r="D275" s="37" t="n">
        <v>56</v>
      </c>
      <c r="E275" s="37" t="inlineStr">
        <is>
          <t>Pan Dulce</t>
        </is>
      </c>
      <c r="F275" s="38" t="inlineStr">
        <is>
          <t>Pan Dulce Grande</t>
        </is>
      </c>
      <c r="G275" s="37" t="n">
        <v>20</v>
      </c>
      <c r="H275" s="39" t="n"/>
      <c r="I275" s="39">
        <f>IF(H275&gt;0, H275*G275, "")</f>
        <v/>
      </c>
      <c r="J275" s="39" t="n"/>
      <c r="K275" s="39" t="n">
        <v>0</v>
      </c>
      <c r="L275" s="40">
        <f>IF(I275&gt;0, MAX(0, I275-J275-K275), 0)</f>
        <v/>
      </c>
      <c r="M275" s="41" t="n">
        <v>1.25</v>
      </c>
      <c r="N275" s="42">
        <f>L275*M275</f>
        <v/>
      </c>
    </row>
    <row r="276" ht="19" customHeight="1">
      <c r="A276" s="37" t="inlineStr">
        <is>
          <t>16/09/2026</t>
        </is>
      </c>
      <c r="B276" s="37" t="inlineStr">
        <is>
          <t>Miércoles</t>
        </is>
      </c>
      <c r="C276" s="37" t="inlineStr">
        <is>
          <t>Sucursal Central</t>
        </is>
      </c>
      <c r="D276" s="37" t="n">
        <v>57</v>
      </c>
      <c r="E276" s="37" t="inlineStr">
        <is>
          <t>Galletas</t>
        </is>
      </c>
      <c r="F276" s="38" t="inlineStr">
        <is>
          <t>Pan Galleta</t>
        </is>
      </c>
      <c r="G276" s="37" t="n">
        <v>20</v>
      </c>
      <c r="H276" s="39" t="n"/>
      <c r="I276" s="39">
        <f>IF(H276&gt;0, H276*G276, "")</f>
        <v/>
      </c>
      <c r="J276" s="39" t="n"/>
      <c r="K276" s="39" t="n">
        <v>0</v>
      </c>
      <c r="L276" s="40">
        <f>IF(I276&gt;0, MAX(0, I276-J276-K276), 0)</f>
        <v/>
      </c>
      <c r="M276" s="41" t="n">
        <v>1.25</v>
      </c>
      <c r="N276" s="42">
        <f>L276*M276</f>
        <v/>
      </c>
    </row>
    <row r="277" ht="19" customHeight="1">
      <c r="A277" s="37" t="inlineStr">
        <is>
          <t>16/09/2026</t>
        </is>
      </c>
      <c r="B277" s="37" t="inlineStr">
        <is>
          <t>Miércoles</t>
        </is>
      </c>
      <c r="C277" s="37" t="inlineStr">
        <is>
          <t>Sucursal Central</t>
        </is>
      </c>
      <c r="D277" s="37" t="n">
        <v>58</v>
      </c>
      <c r="E277" s="37" t="inlineStr">
        <is>
          <t>Galletas</t>
        </is>
      </c>
      <c r="F277" s="38" t="inlineStr">
        <is>
          <t>Champurrada Pequeña</t>
        </is>
      </c>
      <c r="G277" s="37" t="n">
        <v>24</v>
      </c>
      <c r="H277" s="39" t="n"/>
      <c r="I277" s="39">
        <f>IF(H277&gt;0, H277*G277, "")</f>
        <v/>
      </c>
      <c r="J277" s="39" t="n"/>
      <c r="K277" s="39" t="n">
        <v>0</v>
      </c>
      <c r="L277" s="40">
        <f>IF(I277&gt;0, MAX(0, I277-J277-K277), 0)</f>
        <v/>
      </c>
      <c r="M277" s="41" t="n">
        <v>0.5</v>
      </c>
      <c r="N277" s="42">
        <f>L277*M277</f>
        <v/>
      </c>
    </row>
    <row r="278" ht="19" customHeight="1">
      <c r="A278" s="37" t="inlineStr">
        <is>
          <t>16/09/2026</t>
        </is>
      </c>
      <c r="B278" s="37" t="inlineStr">
        <is>
          <t>Miércoles</t>
        </is>
      </c>
      <c r="C278" s="37" t="inlineStr">
        <is>
          <t>Sucursal Central</t>
        </is>
      </c>
      <c r="D278" s="37" t="n">
        <v>59</v>
      </c>
      <c r="E278" s="37" t="inlineStr">
        <is>
          <t>Galletas</t>
        </is>
      </c>
      <c r="F278" s="38" t="inlineStr">
        <is>
          <t>Champurrada Grande</t>
        </is>
      </c>
      <c r="G278" s="37" t="n">
        <v>15</v>
      </c>
      <c r="H278" s="39" t="n"/>
      <c r="I278" s="39">
        <f>IF(H278&gt;0, H278*G278, "")</f>
        <v/>
      </c>
      <c r="J278" s="39" t="n"/>
      <c r="K278" s="39" t="n">
        <v>0</v>
      </c>
      <c r="L278" s="40">
        <f>IF(I278&gt;0, MAX(0, I278-J278-K278), 0)</f>
        <v/>
      </c>
      <c r="M278" s="41" t="n">
        <v>1.25</v>
      </c>
      <c r="N278" s="42">
        <f>L278*M278</f>
        <v/>
      </c>
    </row>
    <row r="279" ht="19" customHeight="1">
      <c r="A279" s="37" t="inlineStr">
        <is>
          <t>16/09/2026</t>
        </is>
      </c>
      <c r="B279" s="37" t="inlineStr">
        <is>
          <t>Miércoles</t>
        </is>
      </c>
      <c r="C279" s="37" t="inlineStr">
        <is>
          <t>Sucursal Central</t>
        </is>
      </c>
      <c r="D279" s="37" t="n">
        <v>60</v>
      </c>
      <c r="E279" s="37" t="inlineStr">
        <is>
          <t>Reposteria</t>
        </is>
      </c>
      <c r="F279" s="38" t="inlineStr">
        <is>
          <t>Cubilete de Vainilla</t>
        </is>
      </c>
      <c r="G279" s="37" t="n">
        <v>30</v>
      </c>
      <c r="H279" s="39" t="n"/>
      <c r="I279" s="39">
        <f>IF(H279&gt;0, H279*G279, "")</f>
        <v/>
      </c>
      <c r="J279" s="39" t="n"/>
      <c r="K279" s="39" t="n">
        <v>0</v>
      </c>
      <c r="L279" s="40">
        <f>IF(I279&gt;0, MAX(0, I279-J279-K279), 0)</f>
        <v/>
      </c>
      <c r="M279" s="41" t="n">
        <v>2</v>
      </c>
      <c r="N279" s="42">
        <f>L279*M279</f>
        <v/>
      </c>
    </row>
    <row r="280" ht="19" customHeight="1">
      <c r="A280" s="37" t="inlineStr">
        <is>
          <t>16/09/2026</t>
        </is>
      </c>
      <c r="B280" s="37" t="inlineStr">
        <is>
          <t>Miércoles</t>
        </is>
      </c>
      <c r="C280" s="37" t="inlineStr">
        <is>
          <t>Sucursal Central</t>
        </is>
      </c>
      <c r="D280" s="37" t="n">
        <v>61</v>
      </c>
      <c r="E280" s="37" t="inlineStr">
        <is>
          <t>Reposteria</t>
        </is>
      </c>
      <c r="F280" s="38" t="inlineStr">
        <is>
          <t>Cubilete de Banano</t>
        </is>
      </c>
      <c r="G280" s="37" t="n">
        <v>30</v>
      </c>
      <c r="H280" s="39" t="n"/>
      <c r="I280" s="39">
        <f>IF(H280&gt;0, H280*G280, "")</f>
        <v/>
      </c>
      <c r="J280" s="39" t="n"/>
      <c r="K280" s="39" t="n">
        <v>0</v>
      </c>
      <c r="L280" s="40">
        <f>IF(I280&gt;0, MAX(0, I280-J280-K280), 0)</f>
        <v/>
      </c>
      <c r="M280" s="41" t="n">
        <v>2</v>
      </c>
      <c r="N280" s="42">
        <f>L280*M280</f>
        <v/>
      </c>
    </row>
    <row r="281" ht="19" customHeight="1">
      <c r="A281" s="37" t="inlineStr">
        <is>
          <t>16/09/2026</t>
        </is>
      </c>
      <c r="B281" s="37" t="inlineStr">
        <is>
          <t>Miércoles</t>
        </is>
      </c>
      <c r="C281" s="37" t="inlineStr">
        <is>
          <t>Sucursal Central</t>
        </is>
      </c>
      <c r="D281" s="37" t="n">
        <v>62</v>
      </c>
      <c r="E281" s="37" t="inlineStr">
        <is>
          <t>Reposteria</t>
        </is>
      </c>
      <c r="F281" s="38" t="inlineStr">
        <is>
          <t>Empanada de Piña</t>
        </is>
      </c>
      <c r="G281" s="37" t="n">
        <v>16</v>
      </c>
      <c r="H281" s="39" t="n"/>
      <c r="I281" s="39">
        <f>IF(H281&gt;0, H281*G281, "")</f>
        <v/>
      </c>
      <c r="J281" s="39" t="n"/>
      <c r="K281" s="39" t="n">
        <v>0</v>
      </c>
      <c r="L281" s="40">
        <f>IF(I281&gt;0, MAX(0, I281-J281-K281), 0)</f>
        <v/>
      </c>
      <c r="M281" s="41" t="n">
        <v>2.5</v>
      </c>
      <c r="N281" s="42">
        <f>L281*M281</f>
        <v/>
      </c>
    </row>
    <row r="282" ht="19" customHeight="1">
      <c r="A282" s="37" t="inlineStr">
        <is>
          <t>16/09/2026</t>
        </is>
      </c>
      <c r="B282" s="37" t="inlineStr">
        <is>
          <t>Miércoles</t>
        </is>
      </c>
      <c r="C282" s="37" t="inlineStr">
        <is>
          <t>Sucursal Central</t>
        </is>
      </c>
      <c r="D282" s="37" t="n">
        <v>63</v>
      </c>
      <c r="E282" s="37" t="inlineStr">
        <is>
          <t>Reposteria</t>
        </is>
      </c>
      <c r="F282" s="38" t="inlineStr">
        <is>
          <t>Empanada de Manjar</t>
        </is>
      </c>
      <c r="G282" s="37" t="n">
        <v>16</v>
      </c>
      <c r="H282" s="39" t="n"/>
      <c r="I282" s="39">
        <f>IF(H282&gt;0, H282*G282, "")</f>
        <v/>
      </c>
      <c r="J282" s="39" t="n"/>
      <c r="K282" s="39" t="n">
        <v>0</v>
      </c>
      <c r="L282" s="40">
        <f>IF(I282&gt;0, MAX(0, I282-J282-K282), 0)</f>
        <v/>
      </c>
      <c r="M282" s="41" t="n">
        <v>2.5</v>
      </c>
      <c r="N282" s="42">
        <f>L282*M282</f>
        <v/>
      </c>
    </row>
    <row r="283" ht="19" customHeight="1">
      <c r="A283" s="37" t="inlineStr">
        <is>
          <t>16/09/2026</t>
        </is>
      </c>
      <c r="B283" s="37" t="inlineStr">
        <is>
          <t>Miércoles</t>
        </is>
      </c>
      <c r="C283" s="37" t="inlineStr">
        <is>
          <t>Sucursal Central</t>
        </is>
      </c>
      <c r="D283" s="37" t="n">
        <v>64</v>
      </c>
      <c r="E283" s="37" t="inlineStr">
        <is>
          <t>Galletas</t>
        </is>
      </c>
      <c r="F283" s="38" t="inlineStr">
        <is>
          <t>Polvorosa Tradicional</t>
        </is>
      </c>
      <c r="G283" s="37" t="n">
        <v>15</v>
      </c>
      <c r="H283" s="39" t="n"/>
      <c r="I283" s="39">
        <f>IF(H283&gt;0, H283*G283, "")</f>
        <v/>
      </c>
      <c r="J283" s="39" t="n"/>
      <c r="K283" s="39" t="n">
        <v>0</v>
      </c>
      <c r="L283" s="40">
        <f>IF(I283&gt;0, MAX(0, I283-J283-K283), 0)</f>
        <v/>
      </c>
      <c r="M283" s="41" t="n">
        <v>1.25</v>
      </c>
      <c r="N283" s="42">
        <f>L283*M283</f>
        <v/>
      </c>
    </row>
    <row r="284" ht="19" customHeight="1">
      <c r="A284" s="37" t="inlineStr">
        <is>
          <t>16/09/2026</t>
        </is>
      </c>
      <c r="B284" s="37" t="inlineStr">
        <is>
          <t>Miércoles</t>
        </is>
      </c>
      <c r="C284" s="37" t="inlineStr">
        <is>
          <t>Sucursal Central</t>
        </is>
      </c>
      <c r="D284" s="37" t="n">
        <v>65</v>
      </c>
      <c r="E284" s="37" t="inlineStr">
        <is>
          <t>Donas</t>
        </is>
      </c>
      <c r="F284" s="38" t="inlineStr">
        <is>
          <t>Dona Simple Glaseada</t>
        </is>
      </c>
      <c r="G284" s="37" t="n">
        <v>24</v>
      </c>
      <c r="H284" s="39" t="n"/>
      <c r="I284" s="39">
        <f>IF(H284&gt;0, H284*G284, "")</f>
        <v/>
      </c>
      <c r="J284" s="39" t="n"/>
      <c r="K284" s="39" t="n">
        <v>0</v>
      </c>
      <c r="L284" s="40">
        <f>IF(I284&gt;0, MAX(0, I284-J284-K284), 0)</f>
        <v/>
      </c>
      <c r="M284" s="41" t="n">
        <v>2.5</v>
      </c>
      <c r="N284" s="42">
        <f>L284*M284</f>
        <v/>
      </c>
    </row>
    <row r="285" ht="19" customHeight="1">
      <c r="A285" s="37" t="inlineStr">
        <is>
          <t>16/09/2026</t>
        </is>
      </c>
      <c r="B285" s="37" t="inlineStr">
        <is>
          <t>Miércoles</t>
        </is>
      </c>
      <c r="C285" s="37" t="inlineStr">
        <is>
          <t>Sucursal Central</t>
        </is>
      </c>
      <c r="D285" s="37" t="n">
        <v>66</v>
      </c>
      <c r="E285" s="37" t="inlineStr">
        <is>
          <t>Donas</t>
        </is>
      </c>
      <c r="F285" s="38" t="inlineStr">
        <is>
          <t>Dona Rellena de Manjar</t>
        </is>
      </c>
      <c r="G285" s="37" t="n">
        <v>24</v>
      </c>
      <c r="H285" s="39" t="n"/>
      <c r="I285" s="39">
        <f>IF(H285&gt;0, H285*G285, "")</f>
        <v/>
      </c>
      <c r="J285" s="39" t="n"/>
      <c r="K285" s="39" t="n">
        <v>0</v>
      </c>
      <c r="L285" s="40">
        <f>IF(I285&gt;0, MAX(0, I285-J285-K285), 0)</f>
        <v/>
      </c>
      <c r="M285" s="41" t="n">
        <v>4</v>
      </c>
      <c r="N285" s="42">
        <f>L285*M285</f>
        <v/>
      </c>
    </row>
    <row r="286" ht="19" customHeight="1">
      <c r="A286" s="37" t="inlineStr">
        <is>
          <t>16/09/2026</t>
        </is>
      </c>
      <c r="B286" s="37" t="inlineStr">
        <is>
          <t>Miércoles</t>
        </is>
      </c>
      <c r="C286" s="37" t="inlineStr">
        <is>
          <t>Sucursal Central</t>
        </is>
      </c>
      <c r="D286" s="37" t="n">
        <v>67</v>
      </c>
      <c r="E286" s="37" t="inlineStr">
        <is>
          <t>Donas</t>
        </is>
      </c>
      <c r="F286" s="38" t="inlineStr">
        <is>
          <t>Dona Rellena de Fresa</t>
        </is>
      </c>
      <c r="G286" s="37" t="n">
        <v>24</v>
      </c>
      <c r="H286" s="39" t="n"/>
      <c r="I286" s="39">
        <f>IF(H286&gt;0, H286*G286, "")</f>
        <v/>
      </c>
      <c r="J286" s="39" t="n"/>
      <c r="K286" s="39" t="n">
        <v>0</v>
      </c>
      <c r="L286" s="40">
        <f>IF(I286&gt;0, MAX(0, I286-J286-K286), 0)</f>
        <v/>
      </c>
      <c r="M286" s="41" t="n">
        <v>4</v>
      </c>
      <c r="N286" s="42">
        <f>L286*M286</f>
        <v/>
      </c>
    </row>
    <row r="287" ht="19" customHeight="1">
      <c r="A287" s="37" t="inlineStr">
        <is>
          <t>16/09/2026</t>
        </is>
      </c>
      <c r="B287" s="37" t="inlineStr">
        <is>
          <t>Miércoles</t>
        </is>
      </c>
      <c r="C287" s="37" t="inlineStr">
        <is>
          <t>Sucursal Central</t>
        </is>
      </c>
      <c r="D287" s="37" t="n">
        <v>68</v>
      </c>
      <c r="E287" s="37" t="inlineStr">
        <is>
          <t>Pan Dulce</t>
        </is>
      </c>
      <c r="F287" s="38" t="inlineStr">
        <is>
          <t>Campechana</t>
        </is>
      </c>
      <c r="G287" s="37" t="n">
        <v>20</v>
      </c>
      <c r="H287" s="39" t="n"/>
      <c r="I287" s="39">
        <f>IF(H287&gt;0, H287*G287, "")</f>
        <v/>
      </c>
      <c r="J287" s="39" t="n"/>
      <c r="K287" s="39" t="n">
        <v>0</v>
      </c>
      <c r="L287" s="40">
        <f>IF(I287&gt;0, MAX(0, I287-J287-K287), 0)</f>
        <v/>
      </c>
      <c r="M287" s="41" t="n">
        <v>1.25</v>
      </c>
      <c r="N287" s="42">
        <f>L287*M287</f>
        <v/>
      </c>
    </row>
    <row r="288" ht="19" customHeight="1">
      <c r="A288" s="37" t="inlineStr">
        <is>
          <t>16/09/2026</t>
        </is>
      </c>
      <c r="B288" s="37" t="inlineStr">
        <is>
          <t>Miércoles</t>
        </is>
      </c>
      <c r="C288" s="37" t="inlineStr">
        <is>
          <t>Sucursal Central</t>
        </is>
      </c>
      <c r="D288" s="37" t="n">
        <v>69</v>
      </c>
      <c r="E288" s="37" t="inlineStr">
        <is>
          <t>Pan Dulce</t>
        </is>
      </c>
      <c r="F288" s="38" t="inlineStr">
        <is>
          <t>Pasitas</t>
        </is>
      </c>
      <c r="G288" s="37" t="n">
        <v>30</v>
      </c>
      <c r="H288" s="39" t="n"/>
      <c r="I288" s="39">
        <f>IF(H288&gt;0, H288*G288, "")</f>
        <v/>
      </c>
      <c r="J288" s="39" t="n"/>
      <c r="K288" s="39" t="n">
        <v>0</v>
      </c>
      <c r="L288" s="40">
        <f>IF(I288&gt;0, MAX(0, I288-J288-K288), 0)</f>
        <v/>
      </c>
      <c r="M288" s="41" t="n">
        <v>0.75</v>
      </c>
      <c r="N288" s="42">
        <f>L288*M288</f>
        <v/>
      </c>
    </row>
    <row r="289" ht="19" customHeight="1">
      <c r="A289" s="37" t="inlineStr">
        <is>
          <t>16/09/2026</t>
        </is>
      </c>
      <c r="B289" s="37" t="inlineStr">
        <is>
          <t>Miércoles</t>
        </is>
      </c>
      <c r="C289" s="37" t="inlineStr">
        <is>
          <t>Sucursal Central</t>
        </is>
      </c>
      <c r="D289" s="37" t="n">
        <v>70</v>
      </c>
      <c r="E289" s="37" t="inlineStr">
        <is>
          <t>Reposteria</t>
        </is>
      </c>
      <c r="F289" s="38" t="inlineStr">
        <is>
          <t>Cortada de Fresa</t>
        </is>
      </c>
      <c r="G289" s="37" t="n">
        <v>14</v>
      </c>
      <c r="H289" s="39" t="n"/>
      <c r="I289" s="39">
        <f>IF(H289&gt;0, H289*G289, "")</f>
        <v/>
      </c>
      <c r="J289" s="39" t="n"/>
      <c r="K289" s="39" t="n">
        <v>0</v>
      </c>
      <c r="L289" s="40">
        <f>IF(I289&gt;0, MAX(0, I289-J289-K289), 0)</f>
        <v/>
      </c>
      <c r="M289" s="41" t="n">
        <v>2.5</v>
      </c>
      <c r="N289" s="42">
        <f>L289*M289</f>
        <v/>
      </c>
    </row>
    <row r="290" ht="19" customHeight="1">
      <c r="A290" s="37" t="inlineStr">
        <is>
          <t>16/09/2026</t>
        </is>
      </c>
      <c r="B290" s="37" t="inlineStr">
        <is>
          <t>Miércoles</t>
        </is>
      </c>
      <c r="C290" s="37" t="inlineStr">
        <is>
          <t>Sucursal Central</t>
        </is>
      </c>
      <c r="D290" s="37" t="n">
        <v>71</v>
      </c>
      <c r="E290" s="37" t="inlineStr">
        <is>
          <t>Reposteria</t>
        </is>
      </c>
      <c r="F290" s="38" t="inlineStr">
        <is>
          <t>Cortada de Chocolate</t>
        </is>
      </c>
      <c r="G290" s="37" t="n">
        <v>14</v>
      </c>
      <c r="H290" s="39" t="n"/>
      <c r="I290" s="39">
        <f>IF(H290&gt;0, H290*G290, "")</f>
        <v/>
      </c>
      <c r="J290" s="39" t="n"/>
      <c r="K290" s="39" t="n">
        <v>0</v>
      </c>
      <c r="L290" s="40">
        <f>IF(I290&gt;0, MAX(0, I290-J290-K290), 0)</f>
        <v/>
      </c>
      <c r="M290" s="41" t="n">
        <v>2.5</v>
      </c>
      <c r="N290" s="42">
        <f>L290*M290</f>
        <v/>
      </c>
    </row>
    <row r="291" ht="19" customHeight="1">
      <c r="A291" s="31" t="inlineStr">
        <is>
          <t>17/09/2026</t>
        </is>
      </c>
      <c r="B291" s="31" t="inlineStr">
        <is>
          <t>Jueves</t>
        </is>
      </c>
      <c r="C291" s="31" t="inlineStr">
        <is>
          <t>Sucursal Central</t>
        </is>
      </c>
      <c r="D291" s="31" t="n">
        <v>54</v>
      </c>
      <c r="E291" s="31" t="inlineStr">
        <is>
          <t>Pan</t>
        </is>
      </c>
      <c r="F291" s="32" t="inlineStr">
        <is>
          <t>Pan Francés Tradicional</t>
        </is>
      </c>
      <c r="G291" s="31" t="n">
        <v>36</v>
      </c>
      <c r="H291" s="33" t="n"/>
      <c r="I291" s="33">
        <f>IF(H291&gt;0, H291*G291, "")</f>
        <v/>
      </c>
      <c r="J291" s="33" t="n"/>
      <c r="K291" s="33" t="n">
        <v>0</v>
      </c>
      <c r="L291" s="34">
        <f>IF(I291&gt;0, MAX(0, I291-J291-K291), 0)</f>
        <v/>
      </c>
      <c r="M291" s="35" t="n">
        <v>0.5</v>
      </c>
      <c r="N291" s="36">
        <f>L291*M291</f>
        <v/>
      </c>
    </row>
    <row r="292" ht="19" customHeight="1">
      <c r="A292" s="31" t="inlineStr">
        <is>
          <t>17/09/2026</t>
        </is>
      </c>
      <c r="B292" s="31" t="inlineStr">
        <is>
          <t>Jueves</t>
        </is>
      </c>
      <c r="C292" s="31" t="inlineStr">
        <is>
          <t>Sucursal Central</t>
        </is>
      </c>
      <c r="D292" s="31" t="n">
        <v>55</v>
      </c>
      <c r="E292" s="31" t="inlineStr">
        <is>
          <t>Pan Dulce</t>
        </is>
      </c>
      <c r="F292" s="32" t="inlineStr">
        <is>
          <t>Pan Dulce Pequeño</t>
        </is>
      </c>
      <c r="G292" s="31" t="n">
        <v>40</v>
      </c>
      <c r="H292" s="33" t="n"/>
      <c r="I292" s="33">
        <f>IF(H292&gt;0, H292*G292, "")</f>
        <v/>
      </c>
      <c r="J292" s="33" t="n"/>
      <c r="K292" s="33" t="n">
        <v>0</v>
      </c>
      <c r="L292" s="34">
        <f>IF(I292&gt;0, MAX(0, I292-J292-K292), 0)</f>
        <v/>
      </c>
      <c r="M292" s="35" t="n">
        <v>0.5</v>
      </c>
      <c r="N292" s="36">
        <f>L292*M292</f>
        <v/>
      </c>
    </row>
    <row r="293" ht="19" customHeight="1">
      <c r="A293" s="31" t="inlineStr">
        <is>
          <t>17/09/2026</t>
        </is>
      </c>
      <c r="B293" s="31" t="inlineStr">
        <is>
          <t>Jueves</t>
        </is>
      </c>
      <c r="C293" s="31" t="inlineStr">
        <is>
          <t>Sucursal Central</t>
        </is>
      </c>
      <c r="D293" s="31" t="n">
        <v>56</v>
      </c>
      <c r="E293" s="31" t="inlineStr">
        <is>
          <t>Pan Dulce</t>
        </is>
      </c>
      <c r="F293" s="32" t="inlineStr">
        <is>
          <t>Pan Dulce Grande</t>
        </is>
      </c>
      <c r="G293" s="31" t="n">
        <v>20</v>
      </c>
      <c r="H293" s="33" t="n"/>
      <c r="I293" s="33">
        <f>IF(H293&gt;0, H293*G293, "")</f>
        <v/>
      </c>
      <c r="J293" s="33" t="n"/>
      <c r="K293" s="33" t="n">
        <v>0</v>
      </c>
      <c r="L293" s="34">
        <f>IF(I293&gt;0, MAX(0, I293-J293-K293), 0)</f>
        <v/>
      </c>
      <c r="M293" s="35" t="n">
        <v>1.25</v>
      </c>
      <c r="N293" s="36">
        <f>L293*M293</f>
        <v/>
      </c>
    </row>
    <row r="294" ht="19" customHeight="1">
      <c r="A294" s="31" t="inlineStr">
        <is>
          <t>17/09/2026</t>
        </is>
      </c>
      <c r="B294" s="31" t="inlineStr">
        <is>
          <t>Jueves</t>
        </is>
      </c>
      <c r="C294" s="31" t="inlineStr">
        <is>
          <t>Sucursal Central</t>
        </is>
      </c>
      <c r="D294" s="31" t="n">
        <v>57</v>
      </c>
      <c r="E294" s="31" t="inlineStr">
        <is>
          <t>Galletas</t>
        </is>
      </c>
      <c r="F294" s="32" t="inlineStr">
        <is>
          <t>Pan Galleta</t>
        </is>
      </c>
      <c r="G294" s="31" t="n">
        <v>20</v>
      </c>
      <c r="H294" s="33" t="n"/>
      <c r="I294" s="33">
        <f>IF(H294&gt;0, H294*G294, "")</f>
        <v/>
      </c>
      <c r="J294" s="33" t="n"/>
      <c r="K294" s="33" t="n">
        <v>0</v>
      </c>
      <c r="L294" s="34">
        <f>IF(I294&gt;0, MAX(0, I294-J294-K294), 0)</f>
        <v/>
      </c>
      <c r="M294" s="35" t="n">
        <v>1.25</v>
      </c>
      <c r="N294" s="36">
        <f>L294*M294</f>
        <v/>
      </c>
    </row>
    <row r="295" ht="19" customHeight="1">
      <c r="A295" s="31" t="inlineStr">
        <is>
          <t>17/09/2026</t>
        </is>
      </c>
      <c r="B295" s="31" t="inlineStr">
        <is>
          <t>Jueves</t>
        </is>
      </c>
      <c r="C295" s="31" t="inlineStr">
        <is>
          <t>Sucursal Central</t>
        </is>
      </c>
      <c r="D295" s="31" t="n">
        <v>58</v>
      </c>
      <c r="E295" s="31" t="inlineStr">
        <is>
          <t>Galletas</t>
        </is>
      </c>
      <c r="F295" s="32" t="inlineStr">
        <is>
          <t>Champurrada Pequeña</t>
        </is>
      </c>
      <c r="G295" s="31" t="n">
        <v>24</v>
      </c>
      <c r="H295" s="33" t="n"/>
      <c r="I295" s="33">
        <f>IF(H295&gt;0, H295*G295, "")</f>
        <v/>
      </c>
      <c r="J295" s="33" t="n"/>
      <c r="K295" s="33" t="n">
        <v>0</v>
      </c>
      <c r="L295" s="34">
        <f>IF(I295&gt;0, MAX(0, I295-J295-K295), 0)</f>
        <v/>
      </c>
      <c r="M295" s="35" t="n">
        <v>0.5</v>
      </c>
      <c r="N295" s="36">
        <f>L295*M295</f>
        <v/>
      </c>
    </row>
    <row r="296" ht="19" customHeight="1">
      <c r="A296" s="31" t="inlineStr">
        <is>
          <t>17/09/2026</t>
        </is>
      </c>
      <c r="B296" s="31" t="inlineStr">
        <is>
          <t>Jueves</t>
        </is>
      </c>
      <c r="C296" s="31" t="inlineStr">
        <is>
          <t>Sucursal Central</t>
        </is>
      </c>
      <c r="D296" s="31" t="n">
        <v>59</v>
      </c>
      <c r="E296" s="31" t="inlineStr">
        <is>
          <t>Galletas</t>
        </is>
      </c>
      <c r="F296" s="32" t="inlineStr">
        <is>
          <t>Champurrada Grande</t>
        </is>
      </c>
      <c r="G296" s="31" t="n">
        <v>15</v>
      </c>
      <c r="H296" s="33" t="n"/>
      <c r="I296" s="33">
        <f>IF(H296&gt;0, H296*G296, "")</f>
        <v/>
      </c>
      <c r="J296" s="33" t="n"/>
      <c r="K296" s="33" t="n">
        <v>0</v>
      </c>
      <c r="L296" s="34">
        <f>IF(I296&gt;0, MAX(0, I296-J296-K296), 0)</f>
        <v/>
      </c>
      <c r="M296" s="35" t="n">
        <v>1.25</v>
      </c>
      <c r="N296" s="36">
        <f>L296*M296</f>
        <v/>
      </c>
    </row>
    <row r="297" ht="19" customHeight="1">
      <c r="A297" s="31" t="inlineStr">
        <is>
          <t>17/09/2026</t>
        </is>
      </c>
      <c r="B297" s="31" t="inlineStr">
        <is>
          <t>Jueves</t>
        </is>
      </c>
      <c r="C297" s="31" t="inlineStr">
        <is>
          <t>Sucursal Central</t>
        </is>
      </c>
      <c r="D297" s="31" t="n">
        <v>60</v>
      </c>
      <c r="E297" s="31" t="inlineStr">
        <is>
          <t>Reposteria</t>
        </is>
      </c>
      <c r="F297" s="32" t="inlineStr">
        <is>
          <t>Cubilete de Vainilla</t>
        </is>
      </c>
      <c r="G297" s="31" t="n">
        <v>30</v>
      </c>
      <c r="H297" s="33" t="n"/>
      <c r="I297" s="33">
        <f>IF(H297&gt;0, H297*G297, "")</f>
        <v/>
      </c>
      <c r="J297" s="33" t="n"/>
      <c r="K297" s="33" t="n">
        <v>0</v>
      </c>
      <c r="L297" s="34">
        <f>IF(I297&gt;0, MAX(0, I297-J297-K297), 0)</f>
        <v/>
      </c>
      <c r="M297" s="35" t="n">
        <v>2</v>
      </c>
      <c r="N297" s="36">
        <f>L297*M297</f>
        <v/>
      </c>
    </row>
    <row r="298" ht="19" customHeight="1">
      <c r="A298" s="31" t="inlineStr">
        <is>
          <t>17/09/2026</t>
        </is>
      </c>
      <c r="B298" s="31" t="inlineStr">
        <is>
          <t>Jueves</t>
        </is>
      </c>
      <c r="C298" s="31" t="inlineStr">
        <is>
          <t>Sucursal Central</t>
        </is>
      </c>
      <c r="D298" s="31" t="n">
        <v>61</v>
      </c>
      <c r="E298" s="31" t="inlineStr">
        <is>
          <t>Reposteria</t>
        </is>
      </c>
      <c r="F298" s="32" t="inlineStr">
        <is>
          <t>Cubilete de Banano</t>
        </is>
      </c>
      <c r="G298" s="31" t="n">
        <v>30</v>
      </c>
      <c r="H298" s="33" t="n"/>
      <c r="I298" s="33">
        <f>IF(H298&gt;0, H298*G298, "")</f>
        <v/>
      </c>
      <c r="J298" s="33" t="n"/>
      <c r="K298" s="33" t="n">
        <v>0</v>
      </c>
      <c r="L298" s="34">
        <f>IF(I298&gt;0, MAX(0, I298-J298-K298), 0)</f>
        <v/>
      </c>
      <c r="M298" s="35" t="n">
        <v>2</v>
      </c>
      <c r="N298" s="36">
        <f>L298*M298</f>
        <v/>
      </c>
    </row>
    <row r="299" ht="19" customHeight="1">
      <c r="A299" s="31" t="inlineStr">
        <is>
          <t>17/09/2026</t>
        </is>
      </c>
      <c r="B299" s="31" t="inlineStr">
        <is>
          <t>Jueves</t>
        </is>
      </c>
      <c r="C299" s="31" t="inlineStr">
        <is>
          <t>Sucursal Central</t>
        </is>
      </c>
      <c r="D299" s="31" t="n">
        <v>62</v>
      </c>
      <c r="E299" s="31" t="inlineStr">
        <is>
          <t>Reposteria</t>
        </is>
      </c>
      <c r="F299" s="32" t="inlineStr">
        <is>
          <t>Empanada de Piña</t>
        </is>
      </c>
      <c r="G299" s="31" t="n">
        <v>16</v>
      </c>
      <c r="H299" s="33" t="n"/>
      <c r="I299" s="33">
        <f>IF(H299&gt;0, H299*G299, "")</f>
        <v/>
      </c>
      <c r="J299" s="33" t="n"/>
      <c r="K299" s="33" t="n">
        <v>0</v>
      </c>
      <c r="L299" s="34">
        <f>IF(I299&gt;0, MAX(0, I299-J299-K299), 0)</f>
        <v/>
      </c>
      <c r="M299" s="35" t="n">
        <v>2.5</v>
      </c>
      <c r="N299" s="36">
        <f>L299*M299</f>
        <v/>
      </c>
    </row>
    <row r="300" ht="19" customHeight="1">
      <c r="A300" s="31" t="inlineStr">
        <is>
          <t>17/09/2026</t>
        </is>
      </c>
      <c r="B300" s="31" t="inlineStr">
        <is>
          <t>Jueves</t>
        </is>
      </c>
      <c r="C300" s="31" t="inlineStr">
        <is>
          <t>Sucursal Central</t>
        </is>
      </c>
      <c r="D300" s="31" t="n">
        <v>63</v>
      </c>
      <c r="E300" s="31" t="inlineStr">
        <is>
          <t>Reposteria</t>
        </is>
      </c>
      <c r="F300" s="32" t="inlineStr">
        <is>
          <t>Empanada de Manjar</t>
        </is>
      </c>
      <c r="G300" s="31" t="n">
        <v>16</v>
      </c>
      <c r="H300" s="33" t="n"/>
      <c r="I300" s="33">
        <f>IF(H300&gt;0, H300*G300, "")</f>
        <v/>
      </c>
      <c r="J300" s="33" t="n"/>
      <c r="K300" s="33" t="n">
        <v>0</v>
      </c>
      <c r="L300" s="34">
        <f>IF(I300&gt;0, MAX(0, I300-J300-K300), 0)</f>
        <v/>
      </c>
      <c r="M300" s="35" t="n">
        <v>2.5</v>
      </c>
      <c r="N300" s="36">
        <f>L300*M300</f>
        <v/>
      </c>
    </row>
    <row r="301" ht="19" customHeight="1">
      <c r="A301" s="31" t="inlineStr">
        <is>
          <t>17/09/2026</t>
        </is>
      </c>
      <c r="B301" s="31" t="inlineStr">
        <is>
          <t>Jueves</t>
        </is>
      </c>
      <c r="C301" s="31" t="inlineStr">
        <is>
          <t>Sucursal Central</t>
        </is>
      </c>
      <c r="D301" s="31" t="n">
        <v>64</v>
      </c>
      <c r="E301" s="31" t="inlineStr">
        <is>
          <t>Galletas</t>
        </is>
      </c>
      <c r="F301" s="32" t="inlineStr">
        <is>
          <t>Polvorosa Tradicional</t>
        </is>
      </c>
      <c r="G301" s="31" t="n">
        <v>15</v>
      </c>
      <c r="H301" s="33" t="n"/>
      <c r="I301" s="33">
        <f>IF(H301&gt;0, H301*G301, "")</f>
        <v/>
      </c>
      <c r="J301" s="33" t="n"/>
      <c r="K301" s="33" t="n">
        <v>0</v>
      </c>
      <c r="L301" s="34">
        <f>IF(I301&gt;0, MAX(0, I301-J301-K301), 0)</f>
        <v/>
      </c>
      <c r="M301" s="35" t="n">
        <v>1.25</v>
      </c>
      <c r="N301" s="36">
        <f>L301*M301</f>
        <v/>
      </c>
    </row>
    <row r="302" ht="19" customHeight="1">
      <c r="A302" s="31" t="inlineStr">
        <is>
          <t>17/09/2026</t>
        </is>
      </c>
      <c r="B302" s="31" t="inlineStr">
        <is>
          <t>Jueves</t>
        </is>
      </c>
      <c r="C302" s="31" t="inlineStr">
        <is>
          <t>Sucursal Central</t>
        </is>
      </c>
      <c r="D302" s="31" t="n">
        <v>65</v>
      </c>
      <c r="E302" s="31" t="inlineStr">
        <is>
          <t>Donas</t>
        </is>
      </c>
      <c r="F302" s="32" t="inlineStr">
        <is>
          <t>Dona Simple Glaseada</t>
        </is>
      </c>
      <c r="G302" s="31" t="n">
        <v>24</v>
      </c>
      <c r="H302" s="33" t="n"/>
      <c r="I302" s="33">
        <f>IF(H302&gt;0, H302*G302, "")</f>
        <v/>
      </c>
      <c r="J302" s="33" t="n"/>
      <c r="K302" s="33" t="n">
        <v>0</v>
      </c>
      <c r="L302" s="34">
        <f>IF(I302&gt;0, MAX(0, I302-J302-K302), 0)</f>
        <v/>
      </c>
      <c r="M302" s="35" t="n">
        <v>2.5</v>
      </c>
      <c r="N302" s="36">
        <f>L302*M302</f>
        <v/>
      </c>
    </row>
    <row r="303" ht="19" customHeight="1">
      <c r="A303" s="31" t="inlineStr">
        <is>
          <t>17/09/2026</t>
        </is>
      </c>
      <c r="B303" s="31" t="inlineStr">
        <is>
          <t>Jueves</t>
        </is>
      </c>
      <c r="C303" s="31" t="inlineStr">
        <is>
          <t>Sucursal Central</t>
        </is>
      </c>
      <c r="D303" s="31" t="n">
        <v>66</v>
      </c>
      <c r="E303" s="31" t="inlineStr">
        <is>
          <t>Donas</t>
        </is>
      </c>
      <c r="F303" s="32" t="inlineStr">
        <is>
          <t>Dona Rellena de Manjar</t>
        </is>
      </c>
      <c r="G303" s="31" t="n">
        <v>24</v>
      </c>
      <c r="H303" s="33" t="n"/>
      <c r="I303" s="33">
        <f>IF(H303&gt;0, H303*G303, "")</f>
        <v/>
      </c>
      <c r="J303" s="33" t="n"/>
      <c r="K303" s="33" t="n">
        <v>0</v>
      </c>
      <c r="L303" s="34">
        <f>IF(I303&gt;0, MAX(0, I303-J303-K303), 0)</f>
        <v/>
      </c>
      <c r="M303" s="35" t="n">
        <v>4</v>
      </c>
      <c r="N303" s="36">
        <f>L303*M303</f>
        <v/>
      </c>
    </row>
    <row r="304" ht="19" customHeight="1">
      <c r="A304" s="31" t="inlineStr">
        <is>
          <t>17/09/2026</t>
        </is>
      </c>
      <c r="B304" s="31" t="inlineStr">
        <is>
          <t>Jueves</t>
        </is>
      </c>
      <c r="C304" s="31" t="inlineStr">
        <is>
          <t>Sucursal Central</t>
        </is>
      </c>
      <c r="D304" s="31" t="n">
        <v>67</v>
      </c>
      <c r="E304" s="31" t="inlineStr">
        <is>
          <t>Donas</t>
        </is>
      </c>
      <c r="F304" s="32" t="inlineStr">
        <is>
          <t>Dona Rellena de Fresa</t>
        </is>
      </c>
      <c r="G304" s="31" t="n">
        <v>24</v>
      </c>
      <c r="H304" s="33" t="n"/>
      <c r="I304" s="33">
        <f>IF(H304&gt;0, H304*G304, "")</f>
        <v/>
      </c>
      <c r="J304" s="33" t="n"/>
      <c r="K304" s="33" t="n">
        <v>0</v>
      </c>
      <c r="L304" s="34">
        <f>IF(I304&gt;0, MAX(0, I304-J304-K304), 0)</f>
        <v/>
      </c>
      <c r="M304" s="35" t="n">
        <v>4</v>
      </c>
      <c r="N304" s="36">
        <f>L304*M304</f>
        <v/>
      </c>
    </row>
    <row r="305" ht="19" customHeight="1">
      <c r="A305" s="31" t="inlineStr">
        <is>
          <t>17/09/2026</t>
        </is>
      </c>
      <c r="B305" s="31" t="inlineStr">
        <is>
          <t>Jueves</t>
        </is>
      </c>
      <c r="C305" s="31" t="inlineStr">
        <is>
          <t>Sucursal Central</t>
        </is>
      </c>
      <c r="D305" s="31" t="n">
        <v>68</v>
      </c>
      <c r="E305" s="31" t="inlineStr">
        <is>
          <t>Pan Dulce</t>
        </is>
      </c>
      <c r="F305" s="32" t="inlineStr">
        <is>
          <t>Campechana</t>
        </is>
      </c>
      <c r="G305" s="31" t="n">
        <v>20</v>
      </c>
      <c r="H305" s="33" t="n"/>
      <c r="I305" s="33">
        <f>IF(H305&gt;0, H305*G305, "")</f>
        <v/>
      </c>
      <c r="J305" s="33" t="n"/>
      <c r="K305" s="33" t="n">
        <v>0</v>
      </c>
      <c r="L305" s="34">
        <f>IF(I305&gt;0, MAX(0, I305-J305-K305), 0)</f>
        <v/>
      </c>
      <c r="M305" s="35" t="n">
        <v>1.25</v>
      </c>
      <c r="N305" s="36">
        <f>L305*M305</f>
        <v/>
      </c>
    </row>
    <row r="306" ht="19" customHeight="1">
      <c r="A306" s="31" t="inlineStr">
        <is>
          <t>17/09/2026</t>
        </is>
      </c>
      <c r="B306" s="31" t="inlineStr">
        <is>
          <t>Jueves</t>
        </is>
      </c>
      <c r="C306" s="31" t="inlineStr">
        <is>
          <t>Sucursal Central</t>
        </is>
      </c>
      <c r="D306" s="31" t="n">
        <v>69</v>
      </c>
      <c r="E306" s="31" t="inlineStr">
        <is>
          <t>Pan Dulce</t>
        </is>
      </c>
      <c r="F306" s="32" t="inlineStr">
        <is>
          <t>Pasitas</t>
        </is>
      </c>
      <c r="G306" s="31" t="n">
        <v>30</v>
      </c>
      <c r="H306" s="33" t="n"/>
      <c r="I306" s="33">
        <f>IF(H306&gt;0, H306*G306, "")</f>
        <v/>
      </c>
      <c r="J306" s="33" t="n"/>
      <c r="K306" s="33" t="n">
        <v>0</v>
      </c>
      <c r="L306" s="34">
        <f>IF(I306&gt;0, MAX(0, I306-J306-K306), 0)</f>
        <v/>
      </c>
      <c r="M306" s="35" t="n">
        <v>0.75</v>
      </c>
      <c r="N306" s="36">
        <f>L306*M306</f>
        <v/>
      </c>
    </row>
    <row r="307" ht="19" customHeight="1">
      <c r="A307" s="31" t="inlineStr">
        <is>
          <t>17/09/2026</t>
        </is>
      </c>
      <c r="B307" s="31" t="inlineStr">
        <is>
          <t>Jueves</t>
        </is>
      </c>
      <c r="C307" s="31" t="inlineStr">
        <is>
          <t>Sucursal Central</t>
        </is>
      </c>
      <c r="D307" s="31" t="n">
        <v>70</v>
      </c>
      <c r="E307" s="31" t="inlineStr">
        <is>
          <t>Reposteria</t>
        </is>
      </c>
      <c r="F307" s="32" t="inlineStr">
        <is>
          <t>Cortada de Fresa</t>
        </is>
      </c>
      <c r="G307" s="31" t="n">
        <v>14</v>
      </c>
      <c r="H307" s="33" t="n"/>
      <c r="I307" s="33">
        <f>IF(H307&gt;0, H307*G307, "")</f>
        <v/>
      </c>
      <c r="J307" s="33" t="n"/>
      <c r="K307" s="33" t="n">
        <v>0</v>
      </c>
      <c r="L307" s="34">
        <f>IF(I307&gt;0, MAX(0, I307-J307-K307), 0)</f>
        <v/>
      </c>
      <c r="M307" s="35" t="n">
        <v>2.5</v>
      </c>
      <c r="N307" s="36">
        <f>L307*M307</f>
        <v/>
      </c>
    </row>
    <row r="308" ht="19" customHeight="1">
      <c r="A308" s="31" t="inlineStr">
        <is>
          <t>17/09/2026</t>
        </is>
      </c>
      <c r="B308" s="31" t="inlineStr">
        <is>
          <t>Jueves</t>
        </is>
      </c>
      <c r="C308" s="31" t="inlineStr">
        <is>
          <t>Sucursal Central</t>
        </is>
      </c>
      <c r="D308" s="31" t="n">
        <v>71</v>
      </c>
      <c r="E308" s="31" t="inlineStr">
        <is>
          <t>Reposteria</t>
        </is>
      </c>
      <c r="F308" s="32" t="inlineStr">
        <is>
          <t>Cortada de Chocolate</t>
        </is>
      </c>
      <c r="G308" s="31" t="n">
        <v>14</v>
      </c>
      <c r="H308" s="33" t="n"/>
      <c r="I308" s="33">
        <f>IF(H308&gt;0, H308*G308, "")</f>
        <v/>
      </c>
      <c r="J308" s="33" t="n"/>
      <c r="K308" s="33" t="n">
        <v>0</v>
      </c>
      <c r="L308" s="34">
        <f>IF(I308&gt;0, MAX(0, I308-J308-K308), 0)</f>
        <v/>
      </c>
      <c r="M308" s="35" t="n">
        <v>2.5</v>
      </c>
      <c r="N308" s="36">
        <f>L308*M308</f>
        <v/>
      </c>
    </row>
    <row r="309" ht="19" customHeight="1">
      <c r="A309" s="37" t="inlineStr">
        <is>
          <t>18/09/2026</t>
        </is>
      </c>
      <c r="B309" s="37" t="inlineStr">
        <is>
          <t>Viernes</t>
        </is>
      </c>
      <c r="C309" s="37" t="inlineStr">
        <is>
          <t>Sucursal Central</t>
        </is>
      </c>
      <c r="D309" s="37" t="n">
        <v>54</v>
      </c>
      <c r="E309" s="37" t="inlineStr">
        <is>
          <t>Pan</t>
        </is>
      </c>
      <c r="F309" s="38" t="inlineStr">
        <is>
          <t>Pan Francés Tradicional</t>
        </is>
      </c>
      <c r="G309" s="37" t="n">
        <v>36</v>
      </c>
      <c r="H309" s="39" t="n"/>
      <c r="I309" s="39">
        <f>IF(H309&gt;0, H309*G309, "")</f>
        <v/>
      </c>
      <c r="J309" s="39" t="n"/>
      <c r="K309" s="39" t="n">
        <v>0</v>
      </c>
      <c r="L309" s="40">
        <f>IF(I309&gt;0, MAX(0, I309-J309-K309), 0)</f>
        <v/>
      </c>
      <c r="M309" s="41" t="n">
        <v>0.5</v>
      </c>
      <c r="N309" s="42">
        <f>L309*M309</f>
        <v/>
      </c>
    </row>
    <row r="310" ht="19" customHeight="1">
      <c r="A310" s="37" t="inlineStr">
        <is>
          <t>18/09/2026</t>
        </is>
      </c>
      <c r="B310" s="37" t="inlineStr">
        <is>
          <t>Viernes</t>
        </is>
      </c>
      <c r="C310" s="37" t="inlineStr">
        <is>
          <t>Sucursal Central</t>
        </is>
      </c>
      <c r="D310" s="37" t="n">
        <v>55</v>
      </c>
      <c r="E310" s="37" t="inlineStr">
        <is>
          <t>Pan Dulce</t>
        </is>
      </c>
      <c r="F310" s="38" t="inlineStr">
        <is>
          <t>Pan Dulce Pequeño</t>
        </is>
      </c>
      <c r="G310" s="37" t="n">
        <v>40</v>
      </c>
      <c r="H310" s="39" t="n"/>
      <c r="I310" s="39">
        <f>IF(H310&gt;0, H310*G310, "")</f>
        <v/>
      </c>
      <c r="J310" s="39" t="n"/>
      <c r="K310" s="39" t="n">
        <v>0</v>
      </c>
      <c r="L310" s="40">
        <f>IF(I310&gt;0, MAX(0, I310-J310-K310), 0)</f>
        <v/>
      </c>
      <c r="M310" s="41" t="n">
        <v>0.5</v>
      </c>
      <c r="N310" s="42">
        <f>L310*M310</f>
        <v/>
      </c>
    </row>
    <row r="311" ht="19" customHeight="1">
      <c r="A311" s="37" t="inlineStr">
        <is>
          <t>18/09/2026</t>
        </is>
      </c>
      <c r="B311" s="37" t="inlineStr">
        <is>
          <t>Viernes</t>
        </is>
      </c>
      <c r="C311" s="37" t="inlineStr">
        <is>
          <t>Sucursal Central</t>
        </is>
      </c>
      <c r="D311" s="37" t="n">
        <v>56</v>
      </c>
      <c r="E311" s="37" t="inlineStr">
        <is>
          <t>Pan Dulce</t>
        </is>
      </c>
      <c r="F311" s="38" t="inlineStr">
        <is>
          <t>Pan Dulce Grande</t>
        </is>
      </c>
      <c r="G311" s="37" t="n">
        <v>20</v>
      </c>
      <c r="H311" s="39" t="n"/>
      <c r="I311" s="39">
        <f>IF(H311&gt;0, H311*G311, "")</f>
        <v/>
      </c>
      <c r="J311" s="39" t="n"/>
      <c r="K311" s="39" t="n">
        <v>0</v>
      </c>
      <c r="L311" s="40">
        <f>IF(I311&gt;0, MAX(0, I311-J311-K311), 0)</f>
        <v/>
      </c>
      <c r="M311" s="41" t="n">
        <v>1.25</v>
      </c>
      <c r="N311" s="42">
        <f>L311*M311</f>
        <v/>
      </c>
    </row>
    <row r="312" ht="19" customHeight="1">
      <c r="A312" s="37" t="inlineStr">
        <is>
          <t>18/09/2026</t>
        </is>
      </c>
      <c r="B312" s="37" t="inlineStr">
        <is>
          <t>Viernes</t>
        </is>
      </c>
      <c r="C312" s="37" t="inlineStr">
        <is>
          <t>Sucursal Central</t>
        </is>
      </c>
      <c r="D312" s="37" t="n">
        <v>57</v>
      </c>
      <c r="E312" s="37" t="inlineStr">
        <is>
          <t>Galletas</t>
        </is>
      </c>
      <c r="F312" s="38" t="inlineStr">
        <is>
          <t>Pan Galleta</t>
        </is>
      </c>
      <c r="G312" s="37" t="n">
        <v>20</v>
      </c>
      <c r="H312" s="39" t="n"/>
      <c r="I312" s="39">
        <f>IF(H312&gt;0, H312*G312, "")</f>
        <v/>
      </c>
      <c r="J312" s="39" t="n"/>
      <c r="K312" s="39" t="n">
        <v>0</v>
      </c>
      <c r="L312" s="40">
        <f>IF(I312&gt;0, MAX(0, I312-J312-K312), 0)</f>
        <v/>
      </c>
      <c r="M312" s="41" t="n">
        <v>1.25</v>
      </c>
      <c r="N312" s="42">
        <f>L312*M312</f>
        <v/>
      </c>
    </row>
    <row r="313" ht="19" customHeight="1">
      <c r="A313" s="37" t="inlineStr">
        <is>
          <t>18/09/2026</t>
        </is>
      </c>
      <c r="B313" s="37" t="inlineStr">
        <is>
          <t>Viernes</t>
        </is>
      </c>
      <c r="C313" s="37" t="inlineStr">
        <is>
          <t>Sucursal Central</t>
        </is>
      </c>
      <c r="D313" s="37" t="n">
        <v>58</v>
      </c>
      <c r="E313" s="37" t="inlineStr">
        <is>
          <t>Galletas</t>
        </is>
      </c>
      <c r="F313" s="38" t="inlineStr">
        <is>
          <t>Champurrada Pequeña</t>
        </is>
      </c>
      <c r="G313" s="37" t="n">
        <v>24</v>
      </c>
      <c r="H313" s="39" t="n"/>
      <c r="I313" s="39">
        <f>IF(H313&gt;0, H313*G313, "")</f>
        <v/>
      </c>
      <c r="J313" s="39" t="n"/>
      <c r="K313" s="39" t="n">
        <v>0</v>
      </c>
      <c r="L313" s="40">
        <f>IF(I313&gt;0, MAX(0, I313-J313-K313), 0)</f>
        <v/>
      </c>
      <c r="M313" s="41" t="n">
        <v>0.5</v>
      </c>
      <c r="N313" s="42">
        <f>L313*M313</f>
        <v/>
      </c>
    </row>
    <row r="314" ht="19" customHeight="1">
      <c r="A314" s="37" t="inlineStr">
        <is>
          <t>18/09/2026</t>
        </is>
      </c>
      <c r="B314" s="37" t="inlineStr">
        <is>
          <t>Viernes</t>
        </is>
      </c>
      <c r="C314" s="37" t="inlineStr">
        <is>
          <t>Sucursal Central</t>
        </is>
      </c>
      <c r="D314" s="37" t="n">
        <v>59</v>
      </c>
      <c r="E314" s="37" t="inlineStr">
        <is>
          <t>Galletas</t>
        </is>
      </c>
      <c r="F314" s="38" t="inlineStr">
        <is>
          <t>Champurrada Grande</t>
        </is>
      </c>
      <c r="G314" s="37" t="n">
        <v>15</v>
      </c>
      <c r="H314" s="39" t="n"/>
      <c r="I314" s="39">
        <f>IF(H314&gt;0, H314*G314, "")</f>
        <v/>
      </c>
      <c r="J314" s="39" t="n"/>
      <c r="K314" s="39" t="n">
        <v>0</v>
      </c>
      <c r="L314" s="40">
        <f>IF(I314&gt;0, MAX(0, I314-J314-K314), 0)</f>
        <v/>
      </c>
      <c r="M314" s="41" t="n">
        <v>1.25</v>
      </c>
      <c r="N314" s="42">
        <f>L314*M314</f>
        <v/>
      </c>
    </row>
    <row r="315" ht="19" customHeight="1">
      <c r="A315" s="37" t="inlineStr">
        <is>
          <t>18/09/2026</t>
        </is>
      </c>
      <c r="B315" s="37" t="inlineStr">
        <is>
          <t>Viernes</t>
        </is>
      </c>
      <c r="C315" s="37" t="inlineStr">
        <is>
          <t>Sucursal Central</t>
        </is>
      </c>
      <c r="D315" s="37" t="n">
        <v>60</v>
      </c>
      <c r="E315" s="37" t="inlineStr">
        <is>
          <t>Reposteria</t>
        </is>
      </c>
      <c r="F315" s="38" t="inlineStr">
        <is>
          <t>Cubilete de Vainilla</t>
        </is>
      </c>
      <c r="G315" s="37" t="n">
        <v>30</v>
      </c>
      <c r="H315" s="39" t="n"/>
      <c r="I315" s="39">
        <f>IF(H315&gt;0, H315*G315, "")</f>
        <v/>
      </c>
      <c r="J315" s="39" t="n"/>
      <c r="K315" s="39" t="n">
        <v>0</v>
      </c>
      <c r="L315" s="40">
        <f>IF(I315&gt;0, MAX(0, I315-J315-K315), 0)</f>
        <v/>
      </c>
      <c r="M315" s="41" t="n">
        <v>2</v>
      </c>
      <c r="N315" s="42">
        <f>L315*M315</f>
        <v/>
      </c>
    </row>
    <row r="316" ht="19" customHeight="1">
      <c r="A316" s="37" t="inlineStr">
        <is>
          <t>18/09/2026</t>
        </is>
      </c>
      <c r="B316" s="37" t="inlineStr">
        <is>
          <t>Viernes</t>
        </is>
      </c>
      <c r="C316" s="37" t="inlineStr">
        <is>
          <t>Sucursal Central</t>
        </is>
      </c>
      <c r="D316" s="37" t="n">
        <v>61</v>
      </c>
      <c r="E316" s="37" t="inlineStr">
        <is>
          <t>Reposteria</t>
        </is>
      </c>
      <c r="F316" s="38" t="inlineStr">
        <is>
          <t>Cubilete de Banano</t>
        </is>
      </c>
      <c r="G316" s="37" t="n">
        <v>30</v>
      </c>
      <c r="H316" s="39" t="n"/>
      <c r="I316" s="39">
        <f>IF(H316&gt;0, H316*G316, "")</f>
        <v/>
      </c>
      <c r="J316" s="39" t="n"/>
      <c r="K316" s="39" t="n">
        <v>0</v>
      </c>
      <c r="L316" s="40">
        <f>IF(I316&gt;0, MAX(0, I316-J316-K316), 0)</f>
        <v/>
      </c>
      <c r="M316" s="41" t="n">
        <v>2</v>
      </c>
      <c r="N316" s="42">
        <f>L316*M316</f>
        <v/>
      </c>
    </row>
    <row r="317" ht="19" customHeight="1">
      <c r="A317" s="37" t="inlineStr">
        <is>
          <t>18/09/2026</t>
        </is>
      </c>
      <c r="B317" s="37" t="inlineStr">
        <is>
          <t>Viernes</t>
        </is>
      </c>
      <c r="C317" s="37" t="inlineStr">
        <is>
          <t>Sucursal Central</t>
        </is>
      </c>
      <c r="D317" s="37" t="n">
        <v>62</v>
      </c>
      <c r="E317" s="37" t="inlineStr">
        <is>
          <t>Reposteria</t>
        </is>
      </c>
      <c r="F317" s="38" t="inlineStr">
        <is>
          <t>Empanada de Piña</t>
        </is>
      </c>
      <c r="G317" s="37" t="n">
        <v>16</v>
      </c>
      <c r="H317" s="39" t="n"/>
      <c r="I317" s="39">
        <f>IF(H317&gt;0, H317*G317, "")</f>
        <v/>
      </c>
      <c r="J317" s="39" t="n"/>
      <c r="K317" s="39" t="n">
        <v>0</v>
      </c>
      <c r="L317" s="40">
        <f>IF(I317&gt;0, MAX(0, I317-J317-K317), 0)</f>
        <v/>
      </c>
      <c r="M317" s="41" t="n">
        <v>2.5</v>
      </c>
      <c r="N317" s="42">
        <f>L317*M317</f>
        <v/>
      </c>
    </row>
    <row r="318" ht="19" customHeight="1">
      <c r="A318" s="37" t="inlineStr">
        <is>
          <t>18/09/2026</t>
        </is>
      </c>
      <c r="B318" s="37" t="inlineStr">
        <is>
          <t>Viernes</t>
        </is>
      </c>
      <c r="C318" s="37" t="inlineStr">
        <is>
          <t>Sucursal Central</t>
        </is>
      </c>
      <c r="D318" s="37" t="n">
        <v>63</v>
      </c>
      <c r="E318" s="37" t="inlineStr">
        <is>
          <t>Reposteria</t>
        </is>
      </c>
      <c r="F318" s="38" t="inlineStr">
        <is>
          <t>Empanada de Manjar</t>
        </is>
      </c>
      <c r="G318" s="37" t="n">
        <v>16</v>
      </c>
      <c r="H318" s="39" t="n"/>
      <c r="I318" s="39">
        <f>IF(H318&gt;0, H318*G318, "")</f>
        <v/>
      </c>
      <c r="J318" s="39" t="n"/>
      <c r="K318" s="39" t="n">
        <v>0</v>
      </c>
      <c r="L318" s="40">
        <f>IF(I318&gt;0, MAX(0, I318-J318-K318), 0)</f>
        <v/>
      </c>
      <c r="M318" s="41" t="n">
        <v>2.5</v>
      </c>
      <c r="N318" s="42">
        <f>L318*M318</f>
        <v/>
      </c>
    </row>
    <row r="319" ht="19" customHeight="1">
      <c r="A319" s="37" t="inlineStr">
        <is>
          <t>18/09/2026</t>
        </is>
      </c>
      <c r="B319" s="37" t="inlineStr">
        <is>
          <t>Viernes</t>
        </is>
      </c>
      <c r="C319" s="37" t="inlineStr">
        <is>
          <t>Sucursal Central</t>
        </is>
      </c>
      <c r="D319" s="37" t="n">
        <v>64</v>
      </c>
      <c r="E319" s="37" t="inlineStr">
        <is>
          <t>Galletas</t>
        </is>
      </c>
      <c r="F319" s="38" t="inlineStr">
        <is>
          <t>Polvorosa Tradicional</t>
        </is>
      </c>
      <c r="G319" s="37" t="n">
        <v>15</v>
      </c>
      <c r="H319" s="39" t="n"/>
      <c r="I319" s="39">
        <f>IF(H319&gt;0, H319*G319, "")</f>
        <v/>
      </c>
      <c r="J319" s="39" t="n"/>
      <c r="K319" s="39" t="n">
        <v>0</v>
      </c>
      <c r="L319" s="40">
        <f>IF(I319&gt;0, MAX(0, I319-J319-K319), 0)</f>
        <v/>
      </c>
      <c r="M319" s="41" t="n">
        <v>1.25</v>
      </c>
      <c r="N319" s="42">
        <f>L319*M319</f>
        <v/>
      </c>
    </row>
    <row r="320" ht="19" customHeight="1">
      <c r="A320" s="37" t="inlineStr">
        <is>
          <t>18/09/2026</t>
        </is>
      </c>
      <c r="B320" s="37" t="inlineStr">
        <is>
          <t>Viernes</t>
        </is>
      </c>
      <c r="C320" s="37" t="inlineStr">
        <is>
          <t>Sucursal Central</t>
        </is>
      </c>
      <c r="D320" s="37" t="n">
        <v>65</v>
      </c>
      <c r="E320" s="37" t="inlineStr">
        <is>
          <t>Donas</t>
        </is>
      </c>
      <c r="F320" s="38" t="inlineStr">
        <is>
          <t>Dona Simple Glaseada</t>
        </is>
      </c>
      <c r="G320" s="37" t="n">
        <v>24</v>
      </c>
      <c r="H320" s="39" t="n"/>
      <c r="I320" s="39">
        <f>IF(H320&gt;0, H320*G320, "")</f>
        <v/>
      </c>
      <c r="J320" s="39" t="n"/>
      <c r="K320" s="39" t="n">
        <v>0</v>
      </c>
      <c r="L320" s="40">
        <f>IF(I320&gt;0, MAX(0, I320-J320-K320), 0)</f>
        <v/>
      </c>
      <c r="M320" s="41" t="n">
        <v>2.5</v>
      </c>
      <c r="N320" s="42">
        <f>L320*M320</f>
        <v/>
      </c>
    </row>
    <row r="321" ht="19" customHeight="1">
      <c r="A321" s="37" t="inlineStr">
        <is>
          <t>18/09/2026</t>
        </is>
      </c>
      <c r="B321" s="37" t="inlineStr">
        <is>
          <t>Viernes</t>
        </is>
      </c>
      <c r="C321" s="37" t="inlineStr">
        <is>
          <t>Sucursal Central</t>
        </is>
      </c>
      <c r="D321" s="37" t="n">
        <v>66</v>
      </c>
      <c r="E321" s="37" t="inlineStr">
        <is>
          <t>Donas</t>
        </is>
      </c>
      <c r="F321" s="38" t="inlineStr">
        <is>
          <t>Dona Rellena de Manjar</t>
        </is>
      </c>
      <c r="G321" s="37" t="n">
        <v>24</v>
      </c>
      <c r="H321" s="39" t="n"/>
      <c r="I321" s="39">
        <f>IF(H321&gt;0, H321*G321, "")</f>
        <v/>
      </c>
      <c r="J321" s="39" t="n"/>
      <c r="K321" s="39" t="n">
        <v>0</v>
      </c>
      <c r="L321" s="40">
        <f>IF(I321&gt;0, MAX(0, I321-J321-K321), 0)</f>
        <v/>
      </c>
      <c r="M321" s="41" t="n">
        <v>4</v>
      </c>
      <c r="N321" s="42">
        <f>L321*M321</f>
        <v/>
      </c>
    </row>
    <row r="322" ht="19" customHeight="1">
      <c r="A322" s="37" t="inlineStr">
        <is>
          <t>18/09/2026</t>
        </is>
      </c>
      <c r="B322" s="37" t="inlineStr">
        <is>
          <t>Viernes</t>
        </is>
      </c>
      <c r="C322" s="37" t="inlineStr">
        <is>
          <t>Sucursal Central</t>
        </is>
      </c>
      <c r="D322" s="37" t="n">
        <v>67</v>
      </c>
      <c r="E322" s="37" t="inlineStr">
        <is>
          <t>Donas</t>
        </is>
      </c>
      <c r="F322" s="38" t="inlineStr">
        <is>
          <t>Dona Rellena de Fresa</t>
        </is>
      </c>
      <c r="G322" s="37" t="n">
        <v>24</v>
      </c>
      <c r="H322" s="39" t="n"/>
      <c r="I322" s="39">
        <f>IF(H322&gt;0, H322*G322, "")</f>
        <v/>
      </c>
      <c r="J322" s="39" t="n"/>
      <c r="K322" s="39" t="n">
        <v>0</v>
      </c>
      <c r="L322" s="40">
        <f>IF(I322&gt;0, MAX(0, I322-J322-K322), 0)</f>
        <v/>
      </c>
      <c r="M322" s="41" t="n">
        <v>4</v>
      </c>
      <c r="N322" s="42">
        <f>L322*M322</f>
        <v/>
      </c>
    </row>
    <row r="323" ht="19" customHeight="1">
      <c r="A323" s="37" t="inlineStr">
        <is>
          <t>18/09/2026</t>
        </is>
      </c>
      <c r="B323" s="37" t="inlineStr">
        <is>
          <t>Viernes</t>
        </is>
      </c>
      <c r="C323" s="37" t="inlineStr">
        <is>
          <t>Sucursal Central</t>
        </is>
      </c>
      <c r="D323" s="37" t="n">
        <v>68</v>
      </c>
      <c r="E323" s="37" t="inlineStr">
        <is>
          <t>Pan Dulce</t>
        </is>
      </c>
      <c r="F323" s="38" t="inlineStr">
        <is>
          <t>Campechana</t>
        </is>
      </c>
      <c r="G323" s="37" t="n">
        <v>20</v>
      </c>
      <c r="H323" s="39" t="n"/>
      <c r="I323" s="39">
        <f>IF(H323&gt;0, H323*G323, "")</f>
        <v/>
      </c>
      <c r="J323" s="39" t="n"/>
      <c r="K323" s="39" t="n">
        <v>0</v>
      </c>
      <c r="L323" s="40">
        <f>IF(I323&gt;0, MAX(0, I323-J323-K323), 0)</f>
        <v/>
      </c>
      <c r="M323" s="41" t="n">
        <v>1.25</v>
      </c>
      <c r="N323" s="42">
        <f>L323*M323</f>
        <v/>
      </c>
    </row>
    <row r="324" ht="19" customHeight="1">
      <c r="A324" s="37" t="inlineStr">
        <is>
          <t>18/09/2026</t>
        </is>
      </c>
      <c r="B324" s="37" t="inlineStr">
        <is>
          <t>Viernes</t>
        </is>
      </c>
      <c r="C324" s="37" t="inlineStr">
        <is>
          <t>Sucursal Central</t>
        </is>
      </c>
      <c r="D324" s="37" t="n">
        <v>69</v>
      </c>
      <c r="E324" s="37" t="inlineStr">
        <is>
          <t>Pan Dulce</t>
        </is>
      </c>
      <c r="F324" s="38" t="inlineStr">
        <is>
          <t>Pasitas</t>
        </is>
      </c>
      <c r="G324" s="37" t="n">
        <v>30</v>
      </c>
      <c r="H324" s="39" t="n"/>
      <c r="I324" s="39">
        <f>IF(H324&gt;0, H324*G324, "")</f>
        <v/>
      </c>
      <c r="J324" s="39" t="n"/>
      <c r="K324" s="39" t="n">
        <v>0</v>
      </c>
      <c r="L324" s="40">
        <f>IF(I324&gt;0, MAX(0, I324-J324-K324), 0)</f>
        <v/>
      </c>
      <c r="M324" s="41" t="n">
        <v>0.75</v>
      </c>
      <c r="N324" s="42">
        <f>L324*M324</f>
        <v/>
      </c>
    </row>
    <row r="325" ht="19" customHeight="1">
      <c r="A325" s="37" t="inlineStr">
        <is>
          <t>18/09/2026</t>
        </is>
      </c>
      <c r="B325" s="37" t="inlineStr">
        <is>
          <t>Viernes</t>
        </is>
      </c>
      <c r="C325" s="37" t="inlineStr">
        <is>
          <t>Sucursal Central</t>
        </is>
      </c>
      <c r="D325" s="37" t="n">
        <v>70</v>
      </c>
      <c r="E325" s="37" t="inlineStr">
        <is>
          <t>Reposteria</t>
        </is>
      </c>
      <c r="F325" s="38" t="inlineStr">
        <is>
          <t>Cortada de Fresa</t>
        </is>
      </c>
      <c r="G325" s="37" t="n">
        <v>14</v>
      </c>
      <c r="H325" s="39" t="n"/>
      <c r="I325" s="39">
        <f>IF(H325&gt;0, H325*G325, "")</f>
        <v/>
      </c>
      <c r="J325" s="39" t="n"/>
      <c r="K325" s="39" t="n">
        <v>0</v>
      </c>
      <c r="L325" s="40">
        <f>IF(I325&gt;0, MAX(0, I325-J325-K325), 0)</f>
        <v/>
      </c>
      <c r="M325" s="41" t="n">
        <v>2.5</v>
      </c>
      <c r="N325" s="42">
        <f>L325*M325</f>
        <v/>
      </c>
    </row>
    <row r="326" ht="19" customHeight="1">
      <c r="A326" s="37" t="inlineStr">
        <is>
          <t>18/09/2026</t>
        </is>
      </c>
      <c r="B326" s="37" t="inlineStr">
        <is>
          <t>Viernes</t>
        </is>
      </c>
      <c r="C326" s="37" t="inlineStr">
        <is>
          <t>Sucursal Central</t>
        </is>
      </c>
      <c r="D326" s="37" t="n">
        <v>71</v>
      </c>
      <c r="E326" s="37" t="inlineStr">
        <is>
          <t>Reposteria</t>
        </is>
      </c>
      <c r="F326" s="38" t="inlineStr">
        <is>
          <t>Cortada de Chocolate</t>
        </is>
      </c>
      <c r="G326" s="37" t="n">
        <v>14</v>
      </c>
      <c r="H326" s="39" t="n"/>
      <c r="I326" s="39">
        <f>IF(H326&gt;0, H326*G326, "")</f>
        <v/>
      </c>
      <c r="J326" s="39" t="n"/>
      <c r="K326" s="39" t="n">
        <v>0</v>
      </c>
      <c r="L326" s="40">
        <f>IF(I326&gt;0, MAX(0, I326-J326-K326), 0)</f>
        <v/>
      </c>
      <c r="M326" s="41" t="n">
        <v>2.5</v>
      </c>
      <c r="N326" s="42">
        <f>L326*M326</f>
        <v/>
      </c>
    </row>
    <row r="327" ht="19" customHeight="1">
      <c r="A327" s="31" t="inlineStr">
        <is>
          <t>19/09/2026</t>
        </is>
      </c>
      <c r="B327" s="31" t="inlineStr">
        <is>
          <t>Sábado</t>
        </is>
      </c>
      <c r="C327" s="31" t="inlineStr">
        <is>
          <t>Sucursal Central</t>
        </is>
      </c>
      <c r="D327" s="31" t="n">
        <v>54</v>
      </c>
      <c r="E327" s="31" t="inlineStr">
        <is>
          <t>Pan</t>
        </is>
      </c>
      <c r="F327" s="32" t="inlineStr">
        <is>
          <t>Pan Francés Tradicional</t>
        </is>
      </c>
      <c r="G327" s="31" t="n">
        <v>36</v>
      </c>
      <c r="H327" s="33" t="n"/>
      <c r="I327" s="33">
        <f>IF(H327&gt;0, H327*G327, "")</f>
        <v/>
      </c>
      <c r="J327" s="33" t="n"/>
      <c r="K327" s="33" t="n">
        <v>0</v>
      </c>
      <c r="L327" s="34">
        <f>IF(I327&gt;0, MAX(0, I327-J327-K327), 0)</f>
        <v/>
      </c>
      <c r="M327" s="35" t="n">
        <v>0.5</v>
      </c>
      <c r="N327" s="36">
        <f>L327*M327</f>
        <v/>
      </c>
    </row>
    <row r="328" ht="19" customHeight="1">
      <c r="A328" s="31" t="inlineStr">
        <is>
          <t>19/09/2026</t>
        </is>
      </c>
      <c r="B328" s="31" t="inlineStr">
        <is>
          <t>Sábado</t>
        </is>
      </c>
      <c r="C328" s="31" t="inlineStr">
        <is>
          <t>Sucursal Central</t>
        </is>
      </c>
      <c r="D328" s="31" t="n">
        <v>55</v>
      </c>
      <c r="E328" s="31" t="inlineStr">
        <is>
          <t>Pan Dulce</t>
        </is>
      </c>
      <c r="F328" s="32" t="inlineStr">
        <is>
          <t>Pan Dulce Pequeño</t>
        </is>
      </c>
      <c r="G328" s="31" t="n">
        <v>40</v>
      </c>
      <c r="H328" s="33" t="n"/>
      <c r="I328" s="33">
        <f>IF(H328&gt;0, H328*G328, "")</f>
        <v/>
      </c>
      <c r="J328" s="33" t="n"/>
      <c r="K328" s="33" t="n">
        <v>0</v>
      </c>
      <c r="L328" s="34">
        <f>IF(I328&gt;0, MAX(0, I328-J328-K328), 0)</f>
        <v/>
      </c>
      <c r="M328" s="35" t="n">
        <v>0.5</v>
      </c>
      <c r="N328" s="36">
        <f>L328*M328</f>
        <v/>
      </c>
    </row>
    <row r="329" ht="19" customHeight="1">
      <c r="A329" s="31" t="inlineStr">
        <is>
          <t>19/09/2026</t>
        </is>
      </c>
      <c r="B329" s="31" t="inlineStr">
        <is>
          <t>Sábado</t>
        </is>
      </c>
      <c r="C329" s="31" t="inlineStr">
        <is>
          <t>Sucursal Central</t>
        </is>
      </c>
      <c r="D329" s="31" t="n">
        <v>56</v>
      </c>
      <c r="E329" s="31" t="inlineStr">
        <is>
          <t>Pan Dulce</t>
        </is>
      </c>
      <c r="F329" s="32" t="inlineStr">
        <is>
          <t>Pan Dulce Grande</t>
        </is>
      </c>
      <c r="G329" s="31" t="n">
        <v>20</v>
      </c>
      <c r="H329" s="33" t="n"/>
      <c r="I329" s="33">
        <f>IF(H329&gt;0, H329*G329, "")</f>
        <v/>
      </c>
      <c r="J329" s="33" t="n"/>
      <c r="K329" s="33" t="n">
        <v>0</v>
      </c>
      <c r="L329" s="34">
        <f>IF(I329&gt;0, MAX(0, I329-J329-K329), 0)</f>
        <v/>
      </c>
      <c r="M329" s="35" t="n">
        <v>1.25</v>
      </c>
      <c r="N329" s="36">
        <f>L329*M329</f>
        <v/>
      </c>
    </row>
    <row r="330" ht="19" customHeight="1">
      <c r="A330" s="31" t="inlineStr">
        <is>
          <t>19/09/2026</t>
        </is>
      </c>
      <c r="B330" s="31" t="inlineStr">
        <is>
          <t>Sábado</t>
        </is>
      </c>
      <c r="C330" s="31" t="inlineStr">
        <is>
          <t>Sucursal Central</t>
        </is>
      </c>
      <c r="D330" s="31" t="n">
        <v>57</v>
      </c>
      <c r="E330" s="31" t="inlineStr">
        <is>
          <t>Galletas</t>
        </is>
      </c>
      <c r="F330" s="32" t="inlineStr">
        <is>
          <t>Pan Galleta</t>
        </is>
      </c>
      <c r="G330" s="31" t="n">
        <v>20</v>
      </c>
      <c r="H330" s="33" t="n"/>
      <c r="I330" s="33">
        <f>IF(H330&gt;0, H330*G330, "")</f>
        <v/>
      </c>
      <c r="J330" s="33" t="n"/>
      <c r="K330" s="33" t="n">
        <v>0</v>
      </c>
      <c r="L330" s="34">
        <f>IF(I330&gt;0, MAX(0, I330-J330-K330), 0)</f>
        <v/>
      </c>
      <c r="M330" s="35" t="n">
        <v>1.25</v>
      </c>
      <c r="N330" s="36">
        <f>L330*M330</f>
        <v/>
      </c>
    </row>
    <row r="331" ht="19" customHeight="1">
      <c r="A331" s="31" t="inlineStr">
        <is>
          <t>19/09/2026</t>
        </is>
      </c>
      <c r="B331" s="31" t="inlineStr">
        <is>
          <t>Sábado</t>
        </is>
      </c>
      <c r="C331" s="31" t="inlineStr">
        <is>
          <t>Sucursal Central</t>
        </is>
      </c>
      <c r="D331" s="31" t="n">
        <v>58</v>
      </c>
      <c r="E331" s="31" t="inlineStr">
        <is>
          <t>Galletas</t>
        </is>
      </c>
      <c r="F331" s="32" t="inlineStr">
        <is>
          <t>Champurrada Pequeña</t>
        </is>
      </c>
      <c r="G331" s="31" t="n">
        <v>24</v>
      </c>
      <c r="H331" s="33" t="n"/>
      <c r="I331" s="33">
        <f>IF(H331&gt;0, H331*G331, "")</f>
        <v/>
      </c>
      <c r="J331" s="33" t="n"/>
      <c r="K331" s="33" t="n">
        <v>0</v>
      </c>
      <c r="L331" s="34">
        <f>IF(I331&gt;0, MAX(0, I331-J331-K331), 0)</f>
        <v/>
      </c>
      <c r="M331" s="35" t="n">
        <v>0.5</v>
      </c>
      <c r="N331" s="36">
        <f>L331*M331</f>
        <v/>
      </c>
    </row>
    <row r="332" ht="19" customHeight="1">
      <c r="A332" s="31" t="inlineStr">
        <is>
          <t>19/09/2026</t>
        </is>
      </c>
      <c r="B332" s="31" t="inlineStr">
        <is>
          <t>Sábado</t>
        </is>
      </c>
      <c r="C332" s="31" t="inlineStr">
        <is>
          <t>Sucursal Central</t>
        </is>
      </c>
      <c r="D332" s="31" t="n">
        <v>59</v>
      </c>
      <c r="E332" s="31" t="inlineStr">
        <is>
          <t>Galletas</t>
        </is>
      </c>
      <c r="F332" s="32" t="inlineStr">
        <is>
          <t>Champurrada Grande</t>
        </is>
      </c>
      <c r="G332" s="31" t="n">
        <v>15</v>
      </c>
      <c r="H332" s="33" t="n"/>
      <c r="I332" s="33">
        <f>IF(H332&gt;0, H332*G332, "")</f>
        <v/>
      </c>
      <c r="J332" s="33" t="n"/>
      <c r="K332" s="33" t="n">
        <v>0</v>
      </c>
      <c r="L332" s="34">
        <f>IF(I332&gt;0, MAX(0, I332-J332-K332), 0)</f>
        <v/>
      </c>
      <c r="M332" s="35" t="n">
        <v>1.25</v>
      </c>
      <c r="N332" s="36">
        <f>L332*M332</f>
        <v/>
      </c>
    </row>
    <row r="333" ht="19" customHeight="1">
      <c r="A333" s="31" t="inlineStr">
        <is>
          <t>19/09/2026</t>
        </is>
      </c>
      <c r="B333" s="31" t="inlineStr">
        <is>
          <t>Sábado</t>
        </is>
      </c>
      <c r="C333" s="31" t="inlineStr">
        <is>
          <t>Sucursal Central</t>
        </is>
      </c>
      <c r="D333" s="31" t="n">
        <v>60</v>
      </c>
      <c r="E333" s="31" t="inlineStr">
        <is>
          <t>Reposteria</t>
        </is>
      </c>
      <c r="F333" s="32" t="inlineStr">
        <is>
          <t>Cubilete de Vainilla</t>
        </is>
      </c>
      <c r="G333" s="31" t="n">
        <v>30</v>
      </c>
      <c r="H333" s="33" t="n"/>
      <c r="I333" s="33">
        <f>IF(H333&gt;0, H333*G333, "")</f>
        <v/>
      </c>
      <c r="J333" s="33" t="n"/>
      <c r="K333" s="33" t="n">
        <v>0</v>
      </c>
      <c r="L333" s="34">
        <f>IF(I333&gt;0, MAX(0, I333-J333-K333), 0)</f>
        <v/>
      </c>
      <c r="M333" s="35" t="n">
        <v>2</v>
      </c>
      <c r="N333" s="36">
        <f>L333*M333</f>
        <v/>
      </c>
    </row>
    <row r="334" ht="19" customHeight="1">
      <c r="A334" s="31" t="inlineStr">
        <is>
          <t>19/09/2026</t>
        </is>
      </c>
      <c r="B334" s="31" t="inlineStr">
        <is>
          <t>Sábado</t>
        </is>
      </c>
      <c r="C334" s="31" t="inlineStr">
        <is>
          <t>Sucursal Central</t>
        </is>
      </c>
      <c r="D334" s="31" t="n">
        <v>61</v>
      </c>
      <c r="E334" s="31" t="inlineStr">
        <is>
          <t>Reposteria</t>
        </is>
      </c>
      <c r="F334" s="32" t="inlineStr">
        <is>
          <t>Cubilete de Banano</t>
        </is>
      </c>
      <c r="G334" s="31" t="n">
        <v>30</v>
      </c>
      <c r="H334" s="33" t="n"/>
      <c r="I334" s="33">
        <f>IF(H334&gt;0, H334*G334, "")</f>
        <v/>
      </c>
      <c r="J334" s="33" t="n"/>
      <c r="K334" s="33" t="n">
        <v>0</v>
      </c>
      <c r="L334" s="34">
        <f>IF(I334&gt;0, MAX(0, I334-J334-K334), 0)</f>
        <v/>
      </c>
      <c r="M334" s="35" t="n">
        <v>2</v>
      </c>
      <c r="N334" s="36">
        <f>L334*M334</f>
        <v/>
      </c>
    </row>
    <row r="335" ht="19" customHeight="1">
      <c r="A335" s="31" t="inlineStr">
        <is>
          <t>19/09/2026</t>
        </is>
      </c>
      <c r="B335" s="31" t="inlineStr">
        <is>
          <t>Sábado</t>
        </is>
      </c>
      <c r="C335" s="31" t="inlineStr">
        <is>
          <t>Sucursal Central</t>
        </is>
      </c>
      <c r="D335" s="31" t="n">
        <v>62</v>
      </c>
      <c r="E335" s="31" t="inlineStr">
        <is>
          <t>Reposteria</t>
        </is>
      </c>
      <c r="F335" s="32" t="inlineStr">
        <is>
          <t>Empanada de Piña</t>
        </is>
      </c>
      <c r="G335" s="31" t="n">
        <v>16</v>
      </c>
      <c r="H335" s="33" t="n"/>
      <c r="I335" s="33">
        <f>IF(H335&gt;0, H335*G335, "")</f>
        <v/>
      </c>
      <c r="J335" s="33" t="n"/>
      <c r="K335" s="33" t="n">
        <v>0</v>
      </c>
      <c r="L335" s="34">
        <f>IF(I335&gt;0, MAX(0, I335-J335-K335), 0)</f>
        <v/>
      </c>
      <c r="M335" s="35" t="n">
        <v>2.5</v>
      </c>
      <c r="N335" s="36">
        <f>L335*M335</f>
        <v/>
      </c>
    </row>
    <row r="336" ht="19" customHeight="1">
      <c r="A336" s="31" t="inlineStr">
        <is>
          <t>19/09/2026</t>
        </is>
      </c>
      <c r="B336" s="31" t="inlineStr">
        <is>
          <t>Sábado</t>
        </is>
      </c>
      <c r="C336" s="31" t="inlineStr">
        <is>
          <t>Sucursal Central</t>
        </is>
      </c>
      <c r="D336" s="31" t="n">
        <v>63</v>
      </c>
      <c r="E336" s="31" t="inlineStr">
        <is>
          <t>Reposteria</t>
        </is>
      </c>
      <c r="F336" s="32" t="inlineStr">
        <is>
          <t>Empanada de Manjar</t>
        </is>
      </c>
      <c r="G336" s="31" t="n">
        <v>16</v>
      </c>
      <c r="H336" s="33" t="n"/>
      <c r="I336" s="33">
        <f>IF(H336&gt;0, H336*G336, "")</f>
        <v/>
      </c>
      <c r="J336" s="33" t="n"/>
      <c r="K336" s="33" t="n">
        <v>0</v>
      </c>
      <c r="L336" s="34">
        <f>IF(I336&gt;0, MAX(0, I336-J336-K336), 0)</f>
        <v/>
      </c>
      <c r="M336" s="35" t="n">
        <v>2.5</v>
      </c>
      <c r="N336" s="36">
        <f>L336*M336</f>
        <v/>
      </c>
    </row>
    <row r="337" ht="19" customHeight="1">
      <c r="A337" s="31" t="inlineStr">
        <is>
          <t>19/09/2026</t>
        </is>
      </c>
      <c r="B337" s="31" t="inlineStr">
        <is>
          <t>Sábado</t>
        </is>
      </c>
      <c r="C337" s="31" t="inlineStr">
        <is>
          <t>Sucursal Central</t>
        </is>
      </c>
      <c r="D337" s="31" t="n">
        <v>64</v>
      </c>
      <c r="E337" s="31" t="inlineStr">
        <is>
          <t>Galletas</t>
        </is>
      </c>
      <c r="F337" s="32" t="inlineStr">
        <is>
          <t>Polvorosa Tradicional</t>
        </is>
      </c>
      <c r="G337" s="31" t="n">
        <v>15</v>
      </c>
      <c r="H337" s="33" t="n"/>
      <c r="I337" s="33">
        <f>IF(H337&gt;0, H337*G337, "")</f>
        <v/>
      </c>
      <c r="J337" s="33" t="n"/>
      <c r="K337" s="33" t="n">
        <v>0</v>
      </c>
      <c r="L337" s="34">
        <f>IF(I337&gt;0, MAX(0, I337-J337-K337), 0)</f>
        <v/>
      </c>
      <c r="M337" s="35" t="n">
        <v>1.25</v>
      </c>
      <c r="N337" s="36">
        <f>L337*M337</f>
        <v/>
      </c>
    </row>
    <row r="338" ht="19" customHeight="1">
      <c r="A338" s="31" t="inlineStr">
        <is>
          <t>19/09/2026</t>
        </is>
      </c>
      <c r="B338" s="31" t="inlineStr">
        <is>
          <t>Sábado</t>
        </is>
      </c>
      <c r="C338" s="31" t="inlineStr">
        <is>
          <t>Sucursal Central</t>
        </is>
      </c>
      <c r="D338" s="31" t="n">
        <v>65</v>
      </c>
      <c r="E338" s="31" t="inlineStr">
        <is>
          <t>Donas</t>
        </is>
      </c>
      <c r="F338" s="32" t="inlineStr">
        <is>
          <t>Dona Simple Glaseada</t>
        </is>
      </c>
      <c r="G338" s="31" t="n">
        <v>24</v>
      </c>
      <c r="H338" s="33" t="n"/>
      <c r="I338" s="33">
        <f>IF(H338&gt;0, H338*G338, "")</f>
        <v/>
      </c>
      <c r="J338" s="33" t="n"/>
      <c r="K338" s="33" t="n">
        <v>0</v>
      </c>
      <c r="L338" s="34">
        <f>IF(I338&gt;0, MAX(0, I338-J338-K338), 0)</f>
        <v/>
      </c>
      <c r="M338" s="35" t="n">
        <v>2.5</v>
      </c>
      <c r="N338" s="36">
        <f>L338*M338</f>
        <v/>
      </c>
    </row>
    <row r="339" ht="19" customHeight="1">
      <c r="A339" s="31" t="inlineStr">
        <is>
          <t>19/09/2026</t>
        </is>
      </c>
      <c r="B339" s="31" t="inlineStr">
        <is>
          <t>Sábado</t>
        </is>
      </c>
      <c r="C339" s="31" t="inlineStr">
        <is>
          <t>Sucursal Central</t>
        </is>
      </c>
      <c r="D339" s="31" t="n">
        <v>66</v>
      </c>
      <c r="E339" s="31" t="inlineStr">
        <is>
          <t>Donas</t>
        </is>
      </c>
      <c r="F339" s="32" t="inlineStr">
        <is>
          <t>Dona Rellena de Manjar</t>
        </is>
      </c>
      <c r="G339" s="31" t="n">
        <v>24</v>
      </c>
      <c r="H339" s="33" t="n"/>
      <c r="I339" s="33">
        <f>IF(H339&gt;0, H339*G339, "")</f>
        <v/>
      </c>
      <c r="J339" s="33" t="n"/>
      <c r="K339" s="33" t="n">
        <v>0</v>
      </c>
      <c r="L339" s="34">
        <f>IF(I339&gt;0, MAX(0, I339-J339-K339), 0)</f>
        <v/>
      </c>
      <c r="M339" s="35" t="n">
        <v>4</v>
      </c>
      <c r="N339" s="36">
        <f>L339*M339</f>
        <v/>
      </c>
    </row>
    <row r="340" ht="19" customHeight="1">
      <c r="A340" s="31" t="inlineStr">
        <is>
          <t>19/09/2026</t>
        </is>
      </c>
      <c r="B340" s="31" t="inlineStr">
        <is>
          <t>Sábado</t>
        </is>
      </c>
      <c r="C340" s="31" t="inlineStr">
        <is>
          <t>Sucursal Central</t>
        </is>
      </c>
      <c r="D340" s="31" t="n">
        <v>67</v>
      </c>
      <c r="E340" s="31" t="inlineStr">
        <is>
          <t>Donas</t>
        </is>
      </c>
      <c r="F340" s="32" t="inlineStr">
        <is>
          <t>Dona Rellena de Fresa</t>
        </is>
      </c>
      <c r="G340" s="31" t="n">
        <v>24</v>
      </c>
      <c r="H340" s="33" t="n"/>
      <c r="I340" s="33">
        <f>IF(H340&gt;0, H340*G340, "")</f>
        <v/>
      </c>
      <c r="J340" s="33" t="n"/>
      <c r="K340" s="33" t="n">
        <v>0</v>
      </c>
      <c r="L340" s="34">
        <f>IF(I340&gt;0, MAX(0, I340-J340-K340), 0)</f>
        <v/>
      </c>
      <c r="M340" s="35" t="n">
        <v>4</v>
      </c>
      <c r="N340" s="36">
        <f>L340*M340</f>
        <v/>
      </c>
    </row>
    <row r="341" ht="19" customHeight="1">
      <c r="A341" s="31" t="inlineStr">
        <is>
          <t>19/09/2026</t>
        </is>
      </c>
      <c r="B341" s="31" t="inlineStr">
        <is>
          <t>Sábado</t>
        </is>
      </c>
      <c r="C341" s="31" t="inlineStr">
        <is>
          <t>Sucursal Central</t>
        </is>
      </c>
      <c r="D341" s="31" t="n">
        <v>68</v>
      </c>
      <c r="E341" s="31" t="inlineStr">
        <is>
          <t>Pan Dulce</t>
        </is>
      </c>
      <c r="F341" s="32" t="inlineStr">
        <is>
          <t>Campechana</t>
        </is>
      </c>
      <c r="G341" s="31" t="n">
        <v>20</v>
      </c>
      <c r="H341" s="33" t="n"/>
      <c r="I341" s="33">
        <f>IF(H341&gt;0, H341*G341, "")</f>
        <v/>
      </c>
      <c r="J341" s="33" t="n"/>
      <c r="K341" s="33" t="n">
        <v>0</v>
      </c>
      <c r="L341" s="34">
        <f>IF(I341&gt;0, MAX(0, I341-J341-K341), 0)</f>
        <v/>
      </c>
      <c r="M341" s="35" t="n">
        <v>1.25</v>
      </c>
      <c r="N341" s="36">
        <f>L341*M341</f>
        <v/>
      </c>
    </row>
    <row r="342" ht="19" customHeight="1">
      <c r="A342" s="31" t="inlineStr">
        <is>
          <t>19/09/2026</t>
        </is>
      </c>
      <c r="B342" s="31" t="inlineStr">
        <is>
          <t>Sábado</t>
        </is>
      </c>
      <c r="C342" s="31" t="inlineStr">
        <is>
          <t>Sucursal Central</t>
        </is>
      </c>
      <c r="D342" s="31" t="n">
        <v>69</v>
      </c>
      <c r="E342" s="31" t="inlineStr">
        <is>
          <t>Pan Dulce</t>
        </is>
      </c>
      <c r="F342" s="32" t="inlineStr">
        <is>
          <t>Pasitas</t>
        </is>
      </c>
      <c r="G342" s="31" t="n">
        <v>30</v>
      </c>
      <c r="H342" s="33" t="n"/>
      <c r="I342" s="33">
        <f>IF(H342&gt;0, H342*G342, "")</f>
        <v/>
      </c>
      <c r="J342" s="33" t="n"/>
      <c r="K342" s="33" t="n">
        <v>0</v>
      </c>
      <c r="L342" s="34">
        <f>IF(I342&gt;0, MAX(0, I342-J342-K342), 0)</f>
        <v/>
      </c>
      <c r="M342" s="35" t="n">
        <v>0.75</v>
      </c>
      <c r="N342" s="36">
        <f>L342*M342</f>
        <v/>
      </c>
    </row>
    <row r="343" ht="19" customHeight="1">
      <c r="A343" s="31" t="inlineStr">
        <is>
          <t>19/09/2026</t>
        </is>
      </c>
      <c r="B343" s="31" t="inlineStr">
        <is>
          <t>Sábado</t>
        </is>
      </c>
      <c r="C343" s="31" t="inlineStr">
        <is>
          <t>Sucursal Central</t>
        </is>
      </c>
      <c r="D343" s="31" t="n">
        <v>70</v>
      </c>
      <c r="E343" s="31" t="inlineStr">
        <is>
          <t>Reposteria</t>
        </is>
      </c>
      <c r="F343" s="32" t="inlineStr">
        <is>
          <t>Cortada de Fresa</t>
        </is>
      </c>
      <c r="G343" s="31" t="n">
        <v>14</v>
      </c>
      <c r="H343" s="33" t="n"/>
      <c r="I343" s="33">
        <f>IF(H343&gt;0, H343*G343, "")</f>
        <v/>
      </c>
      <c r="J343" s="33" t="n"/>
      <c r="K343" s="33" t="n">
        <v>0</v>
      </c>
      <c r="L343" s="34">
        <f>IF(I343&gt;0, MAX(0, I343-J343-K343), 0)</f>
        <v/>
      </c>
      <c r="M343" s="35" t="n">
        <v>2.5</v>
      </c>
      <c r="N343" s="36">
        <f>L343*M343</f>
        <v/>
      </c>
    </row>
    <row r="344" ht="19" customHeight="1">
      <c r="A344" s="31" t="inlineStr">
        <is>
          <t>19/09/2026</t>
        </is>
      </c>
      <c r="B344" s="31" t="inlineStr">
        <is>
          <t>Sábado</t>
        </is>
      </c>
      <c r="C344" s="31" t="inlineStr">
        <is>
          <t>Sucursal Central</t>
        </is>
      </c>
      <c r="D344" s="31" t="n">
        <v>71</v>
      </c>
      <c r="E344" s="31" t="inlineStr">
        <is>
          <t>Reposteria</t>
        </is>
      </c>
      <c r="F344" s="32" t="inlineStr">
        <is>
          <t>Cortada de Chocolate</t>
        </is>
      </c>
      <c r="G344" s="31" t="n">
        <v>14</v>
      </c>
      <c r="H344" s="33" t="n"/>
      <c r="I344" s="33">
        <f>IF(H344&gt;0, H344*G344, "")</f>
        <v/>
      </c>
      <c r="J344" s="33" t="n"/>
      <c r="K344" s="33" t="n">
        <v>0</v>
      </c>
      <c r="L344" s="34">
        <f>IF(I344&gt;0, MAX(0, I344-J344-K344), 0)</f>
        <v/>
      </c>
      <c r="M344" s="35" t="n">
        <v>2.5</v>
      </c>
      <c r="N344" s="36">
        <f>L344*M344</f>
        <v/>
      </c>
    </row>
    <row r="345" ht="19" customHeight="1">
      <c r="A345" s="43" t="inlineStr">
        <is>
          <t>20/09/2026</t>
        </is>
      </c>
      <c r="B345" s="43" t="inlineStr">
        <is>
          <t>Domingo</t>
        </is>
      </c>
      <c r="C345" s="43" t="inlineStr">
        <is>
          <t>Sucursal Central</t>
        </is>
      </c>
      <c r="D345" s="43" t="n">
        <v>54</v>
      </c>
      <c r="E345" s="43" t="inlineStr">
        <is>
          <t>Pan</t>
        </is>
      </c>
      <c r="F345" s="44" t="inlineStr">
        <is>
          <t>Pan Francés Tradicional</t>
        </is>
      </c>
      <c r="G345" s="43" t="n">
        <v>36</v>
      </c>
      <c r="H345" s="45" t="n"/>
      <c r="I345" s="45">
        <f>IF(H345&gt;0, H345*G345, "")</f>
        <v/>
      </c>
      <c r="J345" s="45" t="n"/>
      <c r="K345" s="45" t="n">
        <v>0</v>
      </c>
      <c r="L345" s="25">
        <f>IF(I345&gt;0, MAX(0, I345-J345-K345), 0)</f>
        <v/>
      </c>
      <c r="M345" s="46" t="n">
        <v>0.5</v>
      </c>
      <c r="N345" s="17">
        <f>L345*M345</f>
        <v/>
      </c>
    </row>
    <row r="346" ht="19" customHeight="1">
      <c r="A346" s="43" t="inlineStr">
        <is>
          <t>20/09/2026</t>
        </is>
      </c>
      <c r="B346" s="43" t="inlineStr">
        <is>
          <t>Domingo</t>
        </is>
      </c>
      <c r="C346" s="43" t="inlineStr">
        <is>
          <t>Sucursal Central</t>
        </is>
      </c>
      <c r="D346" s="43" t="n">
        <v>55</v>
      </c>
      <c r="E346" s="43" t="inlineStr">
        <is>
          <t>Pan Dulce</t>
        </is>
      </c>
      <c r="F346" s="44" t="inlineStr">
        <is>
          <t>Pan Dulce Pequeño</t>
        </is>
      </c>
      <c r="G346" s="43" t="n">
        <v>40</v>
      </c>
      <c r="H346" s="45" t="n"/>
      <c r="I346" s="45">
        <f>IF(H346&gt;0, H346*G346, "")</f>
        <v/>
      </c>
      <c r="J346" s="45" t="n"/>
      <c r="K346" s="45" t="n">
        <v>0</v>
      </c>
      <c r="L346" s="25">
        <f>IF(I346&gt;0, MAX(0, I346-J346-K346), 0)</f>
        <v/>
      </c>
      <c r="M346" s="46" t="n">
        <v>0.5</v>
      </c>
      <c r="N346" s="17">
        <f>L346*M346</f>
        <v/>
      </c>
    </row>
    <row r="347" ht="19" customHeight="1">
      <c r="A347" s="43" t="inlineStr">
        <is>
          <t>20/09/2026</t>
        </is>
      </c>
      <c r="B347" s="43" t="inlineStr">
        <is>
          <t>Domingo</t>
        </is>
      </c>
      <c r="C347" s="43" t="inlineStr">
        <is>
          <t>Sucursal Central</t>
        </is>
      </c>
      <c r="D347" s="43" t="n">
        <v>56</v>
      </c>
      <c r="E347" s="43" t="inlineStr">
        <is>
          <t>Pan Dulce</t>
        </is>
      </c>
      <c r="F347" s="44" t="inlineStr">
        <is>
          <t>Pan Dulce Grande</t>
        </is>
      </c>
      <c r="G347" s="43" t="n">
        <v>20</v>
      </c>
      <c r="H347" s="45" t="n"/>
      <c r="I347" s="45">
        <f>IF(H347&gt;0, H347*G347, "")</f>
        <v/>
      </c>
      <c r="J347" s="45" t="n"/>
      <c r="K347" s="45" t="n">
        <v>0</v>
      </c>
      <c r="L347" s="25">
        <f>IF(I347&gt;0, MAX(0, I347-J347-K347), 0)</f>
        <v/>
      </c>
      <c r="M347" s="46" t="n">
        <v>1.25</v>
      </c>
      <c r="N347" s="17">
        <f>L347*M347</f>
        <v/>
      </c>
    </row>
    <row r="348" ht="19" customHeight="1">
      <c r="A348" s="43" t="inlineStr">
        <is>
          <t>20/09/2026</t>
        </is>
      </c>
      <c r="B348" s="43" t="inlineStr">
        <is>
          <t>Domingo</t>
        </is>
      </c>
      <c r="C348" s="43" t="inlineStr">
        <is>
          <t>Sucursal Central</t>
        </is>
      </c>
      <c r="D348" s="43" t="n">
        <v>57</v>
      </c>
      <c r="E348" s="43" t="inlineStr">
        <is>
          <t>Galletas</t>
        </is>
      </c>
      <c r="F348" s="44" t="inlineStr">
        <is>
          <t>Pan Galleta</t>
        </is>
      </c>
      <c r="G348" s="43" t="n">
        <v>20</v>
      </c>
      <c r="H348" s="45" t="n"/>
      <c r="I348" s="45">
        <f>IF(H348&gt;0, H348*G348, "")</f>
        <v/>
      </c>
      <c r="J348" s="45" t="n"/>
      <c r="K348" s="45" t="n">
        <v>0</v>
      </c>
      <c r="L348" s="25">
        <f>IF(I348&gt;0, MAX(0, I348-J348-K348), 0)</f>
        <v/>
      </c>
      <c r="M348" s="46" t="n">
        <v>1.25</v>
      </c>
      <c r="N348" s="17">
        <f>L348*M348</f>
        <v/>
      </c>
    </row>
    <row r="349" ht="19" customHeight="1">
      <c r="A349" s="43" t="inlineStr">
        <is>
          <t>20/09/2026</t>
        </is>
      </c>
      <c r="B349" s="43" t="inlineStr">
        <is>
          <t>Domingo</t>
        </is>
      </c>
      <c r="C349" s="43" t="inlineStr">
        <is>
          <t>Sucursal Central</t>
        </is>
      </c>
      <c r="D349" s="43" t="n">
        <v>58</v>
      </c>
      <c r="E349" s="43" t="inlineStr">
        <is>
          <t>Galletas</t>
        </is>
      </c>
      <c r="F349" s="44" t="inlineStr">
        <is>
          <t>Champurrada Pequeña</t>
        </is>
      </c>
      <c r="G349" s="43" t="n">
        <v>24</v>
      </c>
      <c r="H349" s="45" t="n"/>
      <c r="I349" s="45">
        <f>IF(H349&gt;0, H349*G349, "")</f>
        <v/>
      </c>
      <c r="J349" s="45" t="n"/>
      <c r="K349" s="45" t="n">
        <v>0</v>
      </c>
      <c r="L349" s="25">
        <f>IF(I349&gt;0, MAX(0, I349-J349-K349), 0)</f>
        <v/>
      </c>
      <c r="M349" s="46" t="n">
        <v>0.5</v>
      </c>
      <c r="N349" s="17">
        <f>L349*M349</f>
        <v/>
      </c>
    </row>
    <row r="350" ht="19" customHeight="1">
      <c r="A350" s="43" t="inlineStr">
        <is>
          <t>20/09/2026</t>
        </is>
      </c>
      <c r="B350" s="43" t="inlineStr">
        <is>
          <t>Domingo</t>
        </is>
      </c>
      <c r="C350" s="43" t="inlineStr">
        <is>
          <t>Sucursal Central</t>
        </is>
      </c>
      <c r="D350" s="43" t="n">
        <v>59</v>
      </c>
      <c r="E350" s="43" t="inlineStr">
        <is>
          <t>Galletas</t>
        </is>
      </c>
      <c r="F350" s="44" t="inlineStr">
        <is>
          <t>Champurrada Grande</t>
        </is>
      </c>
      <c r="G350" s="43" t="n">
        <v>15</v>
      </c>
      <c r="H350" s="45" t="n"/>
      <c r="I350" s="45">
        <f>IF(H350&gt;0, H350*G350, "")</f>
        <v/>
      </c>
      <c r="J350" s="45" t="n"/>
      <c r="K350" s="45" t="n">
        <v>0</v>
      </c>
      <c r="L350" s="25">
        <f>IF(I350&gt;0, MAX(0, I350-J350-K350), 0)</f>
        <v/>
      </c>
      <c r="M350" s="46" t="n">
        <v>1.25</v>
      </c>
      <c r="N350" s="17">
        <f>L350*M350</f>
        <v/>
      </c>
    </row>
    <row r="351" ht="19" customHeight="1">
      <c r="A351" s="43" t="inlineStr">
        <is>
          <t>20/09/2026</t>
        </is>
      </c>
      <c r="B351" s="43" t="inlineStr">
        <is>
          <t>Domingo</t>
        </is>
      </c>
      <c r="C351" s="43" t="inlineStr">
        <is>
          <t>Sucursal Central</t>
        </is>
      </c>
      <c r="D351" s="43" t="n">
        <v>60</v>
      </c>
      <c r="E351" s="43" t="inlineStr">
        <is>
          <t>Reposteria</t>
        </is>
      </c>
      <c r="F351" s="44" t="inlineStr">
        <is>
          <t>Cubilete de Vainilla</t>
        </is>
      </c>
      <c r="G351" s="43" t="n">
        <v>30</v>
      </c>
      <c r="H351" s="45" t="n"/>
      <c r="I351" s="45">
        <f>IF(H351&gt;0, H351*G351, "")</f>
        <v/>
      </c>
      <c r="J351" s="45" t="n"/>
      <c r="K351" s="45" t="n">
        <v>0</v>
      </c>
      <c r="L351" s="25">
        <f>IF(I351&gt;0, MAX(0, I351-J351-K351), 0)</f>
        <v/>
      </c>
      <c r="M351" s="46" t="n">
        <v>2</v>
      </c>
      <c r="N351" s="17">
        <f>L351*M351</f>
        <v/>
      </c>
    </row>
    <row r="352" ht="19" customHeight="1">
      <c r="A352" s="43" t="inlineStr">
        <is>
          <t>20/09/2026</t>
        </is>
      </c>
      <c r="B352" s="43" t="inlineStr">
        <is>
          <t>Domingo</t>
        </is>
      </c>
      <c r="C352" s="43" t="inlineStr">
        <is>
          <t>Sucursal Central</t>
        </is>
      </c>
      <c r="D352" s="43" t="n">
        <v>61</v>
      </c>
      <c r="E352" s="43" t="inlineStr">
        <is>
          <t>Reposteria</t>
        </is>
      </c>
      <c r="F352" s="44" t="inlineStr">
        <is>
          <t>Cubilete de Banano</t>
        </is>
      </c>
      <c r="G352" s="43" t="n">
        <v>30</v>
      </c>
      <c r="H352" s="45" t="n"/>
      <c r="I352" s="45">
        <f>IF(H352&gt;0, H352*G352, "")</f>
        <v/>
      </c>
      <c r="J352" s="45" t="n"/>
      <c r="K352" s="45" t="n">
        <v>0</v>
      </c>
      <c r="L352" s="25">
        <f>IF(I352&gt;0, MAX(0, I352-J352-K352), 0)</f>
        <v/>
      </c>
      <c r="M352" s="46" t="n">
        <v>2</v>
      </c>
      <c r="N352" s="17">
        <f>L352*M352</f>
        <v/>
      </c>
    </row>
    <row r="353" ht="19" customHeight="1">
      <c r="A353" s="43" t="inlineStr">
        <is>
          <t>20/09/2026</t>
        </is>
      </c>
      <c r="B353" s="43" t="inlineStr">
        <is>
          <t>Domingo</t>
        </is>
      </c>
      <c r="C353" s="43" t="inlineStr">
        <is>
          <t>Sucursal Central</t>
        </is>
      </c>
      <c r="D353" s="43" t="n">
        <v>62</v>
      </c>
      <c r="E353" s="43" t="inlineStr">
        <is>
          <t>Reposteria</t>
        </is>
      </c>
      <c r="F353" s="44" t="inlineStr">
        <is>
          <t>Empanada de Piña</t>
        </is>
      </c>
      <c r="G353" s="43" t="n">
        <v>16</v>
      </c>
      <c r="H353" s="45" t="n"/>
      <c r="I353" s="45">
        <f>IF(H353&gt;0, H353*G353, "")</f>
        <v/>
      </c>
      <c r="J353" s="45" t="n"/>
      <c r="K353" s="45" t="n">
        <v>0</v>
      </c>
      <c r="L353" s="25">
        <f>IF(I353&gt;0, MAX(0, I353-J353-K353), 0)</f>
        <v/>
      </c>
      <c r="M353" s="46" t="n">
        <v>2.5</v>
      </c>
      <c r="N353" s="17">
        <f>L353*M353</f>
        <v/>
      </c>
    </row>
    <row r="354" ht="19" customHeight="1">
      <c r="A354" s="43" t="inlineStr">
        <is>
          <t>20/09/2026</t>
        </is>
      </c>
      <c r="B354" s="43" t="inlineStr">
        <is>
          <t>Domingo</t>
        </is>
      </c>
      <c r="C354" s="43" t="inlineStr">
        <is>
          <t>Sucursal Central</t>
        </is>
      </c>
      <c r="D354" s="43" t="n">
        <v>63</v>
      </c>
      <c r="E354" s="43" t="inlineStr">
        <is>
          <t>Reposteria</t>
        </is>
      </c>
      <c r="F354" s="44" t="inlineStr">
        <is>
          <t>Empanada de Manjar</t>
        </is>
      </c>
      <c r="G354" s="43" t="n">
        <v>16</v>
      </c>
      <c r="H354" s="45" t="n"/>
      <c r="I354" s="45">
        <f>IF(H354&gt;0, H354*G354, "")</f>
        <v/>
      </c>
      <c r="J354" s="45" t="n"/>
      <c r="K354" s="45" t="n">
        <v>0</v>
      </c>
      <c r="L354" s="25">
        <f>IF(I354&gt;0, MAX(0, I354-J354-K354), 0)</f>
        <v/>
      </c>
      <c r="M354" s="46" t="n">
        <v>2.5</v>
      </c>
      <c r="N354" s="17">
        <f>L354*M354</f>
        <v/>
      </c>
    </row>
    <row r="355" ht="19" customHeight="1">
      <c r="A355" s="43" t="inlineStr">
        <is>
          <t>20/09/2026</t>
        </is>
      </c>
      <c r="B355" s="43" t="inlineStr">
        <is>
          <t>Domingo</t>
        </is>
      </c>
      <c r="C355" s="43" t="inlineStr">
        <is>
          <t>Sucursal Central</t>
        </is>
      </c>
      <c r="D355" s="43" t="n">
        <v>64</v>
      </c>
      <c r="E355" s="43" t="inlineStr">
        <is>
          <t>Galletas</t>
        </is>
      </c>
      <c r="F355" s="44" t="inlineStr">
        <is>
          <t>Polvorosa Tradicional</t>
        </is>
      </c>
      <c r="G355" s="43" t="n">
        <v>15</v>
      </c>
      <c r="H355" s="45" t="n"/>
      <c r="I355" s="45">
        <f>IF(H355&gt;0, H355*G355, "")</f>
        <v/>
      </c>
      <c r="J355" s="45" t="n"/>
      <c r="K355" s="45" t="n">
        <v>0</v>
      </c>
      <c r="L355" s="25">
        <f>IF(I355&gt;0, MAX(0, I355-J355-K355), 0)</f>
        <v/>
      </c>
      <c r="M355" s="46" t="n">
        <v>1.25</v>
      </c>
      <c r="N355" s="17">
        <f>L355*M355</f>
        <v/>
      </c>
    </row>
    <row r="356" ht="19" customHeight="1">
      <c r="A356" s="43" t="inlineStr">
        <is>
          <t>20/09/2026</t>
        </is>
      </c>
      <c r="B356" s="43" t="inlineStr">
        <is>
          <t>Domingo</t>
        </is>
      </c>
      <c r="C356" s="43" t="inlineStr">
        <is>
          <t>Sucursal Central</t>
        </is>
      </c>
      <c r="D356" s="43" t="n">
        <v>65</v>
      </c>
      <c r="E356" s="43" t="inlineStr">
        <is>
          <t>Donas</t>
        </is>
      </c>
      <c r="F356" s="44" t="inlineStr">
        <is>
          <t>Dona Simple Glaseada</t>
        </is>
      </c>
      <c r="G356" s="43" t="n">
        <v>24</v>
      </c>
      <c r="H356" s="45" t="n"/>
      <c r="I356" s="45">
        <f>IF(H356&gt;0, H356*G356, "")</f>
        <v/>
      </c>
      <c r="J356" s="45" t="n"/>
      <c r="K356" s="45" t="n">
        <v>0</v>
      </c>
      <c r="L356" s="25">
        <f>IF(I356&gt;0, MAX(0, I356-J356-K356), 0)</f>
        <v/>
      </c>
      <c r="M356" s="46" t="n">
        <v>2.5</v>
      </c>
      <c r="N356" s="17">
        <f>L356*M356</f>
        <v/>
      </c>
    </row>
    <row r="357" ht="19" customHeight="1">
      <c r="A357" s="43" t="inlineStr">
        <is>
          <t>20/09/2026</t>
        </is>
      </c>
      <c r="B357" s="43" t="inlineStr">
        <is>
          <t>Domingo</t>
        </is>
      </c>
      <c r="C357" s="43" t="inlineStr">
        <is>
          <t>Sucursal Central</t>
        </is>
      </c>
      <c r="D357" s="43" t="n">
        <v>66</v>
      </c>
      <c r="E357" s="43" t="inlineStr">
        <is>
          <t>Donas</t>
        </is>
      </c>
      <c r="F357" s="44" t="inlineStr">
        <is>
          <t>Dona Rellena de Manjar</t>
        </is>
      </c>
      <c r="G357" s="43" t="n">
        <v>24</v>
      </c>
      <c r="H357" s="45" t="n"/>
      <c r="I357" s="45">
        <f>IF(H357&gt;0, H357*G357, "")</f>
        <v/>
      </c>
      <c r="J357" s="45" t="n"/>
      <c r="K357" s="45" t="n">
        <v>0</v>
      </c>
      <c r="L357" s="25">
        <f>IF(I357&gt;0, MAX(0, I357-J357-K357), 0)</f>
        <v/>
      </c>
      <c r="M357" s="46" t="n">
        <v>4</v>
      </c>
      <c r="N357" s="17">
        <f>L357*M357</f>
        <v/>
      </c>
    </row>
    <row r="358" ht="19" customHeight="1">
      <c r="A358" s="43" t="inlineStr">
        <is>
          <t>20/09/2026</t>
        </is>
      </c>
      <c r="B358" s="43" t="inlineStr">
        <is>
          <t>Domingo</t>
        </is>
      </c>
      <c r="C358" s="43" t="inlineStr">
        <is>
          <t>Sucursal Central</t>
        </is>
      </c>
      <c r="D358" s="43" t="n">
        <v>67</v>
      </c>
      <c r="E358" s="43" t="inlineStr">
        <is>
          <t>Donas</t>
        </is>
      </c>
      <c r="F358" s="44" t="inlineStr">
        <is>
          <t>Dona Rellena de Fresa</t>
        </is>
      </c>
      <c r="G358" s="43" t="n">
        <v>24</v>
      </c>
      <c r="H358" s="45" t="n"/>
      <c r="I358" s="45">
        <f>IF(H358&gt;0, H358*G358, "")</f>
        <v/>
      </c>
      <c r="J358" s="45" t="n"/>
      <c r="K358" s="45" t="n">
        <v>0</v>
      </c>
      <c r="L358" s="25">
        <f>IF(I358&gt;0, MAX(0, I358-J358-K358), 0)</f>
        <v/>
      </c>
      <c r="M358" s="46" t="n">
        <v>4</v>
      </c>
      <c r="N358" s="17">
        <f>L358*M358</f>
        <v/>
      </c>
    </row>
    <row r="359" ht="19" customHeight="1">
      <c r="A359" s="43" t="inlineStr">
        <is>
          <t>20/09/2026</t>
        </is>
      </c>
      <c r="B359" s="43" t="inlineStr">
        <is>
          <t>Domingo</t>
        </is>
      </c>
      <c r="C359" s="43" t="inlineStr">
        <is>
          <t>Sucursal Central</t>
        </is>
      </c>
      <c r="D359" s="43" t="n">
        <v>68</v>
      </c>
      <c r="E359" s="43" t="inlineStr">
        <is>
          <t>Pan Dulce</t>
        </is>
      </c>
      <c r="F359" s="44" t="inlineStr">
        <is>
          <t>Campechana</t>
        </is>
      </c>
      <c r="G359" s="43" t="n">
        <v>20</v>
      </c>
      <c r="H359" s="45" t="n"/>
      <c r="I359" s="45">
        <f>IF(H359&gt;0, H359*G359, "")</f>
        <v/>
      </c>
      <c r="J359" s="45" t="n"/>
      <c r="K359" s="45" t="n">
        <v>0</v>
      </c>
      <c r="L359" s="25">
        <f>IF(I359&gt;0, MAX(0, I359-J359-K359), 0)</f>
        <v/>
      </c>
      <c r="M359" s="46" t="n">
        <v>1.25</v>
      </c>
      <c r="N359" s="17">
        <f>L359*M359</f>
        <v/>
      </c>
    </row>
    <row r="360" ht="19" customHeight="1">
      <c r="A360" s="43" t="inlineStr">
        <is>
          <t>20/09/2026</t>
        </is>
      </c>
      <c r="B360" s="43" t="inlineStr">
        <is>
          <t>Domingo</t>
        </is>
      </c>
      <c r="C360" s="43" t="inlineStr">
        <is>
          <t>Sucursal Central</t>
        </is>
      </c>
      <c r="D360" s="43" t="n">
        <v>69</v>
      </c>
      <c r="E360" s="43" t="inlineStr">
        <is>
          <t>Pan Dulce</t>
        </is>
      </c>
      <c r="F360" s="44" t="inlineStr">
        <is>
          <t>Pasitas</t>
        </is>
      </c>
      <c r="G360" s="43" t="n">
        <v>30</v>
      </c>
      <c r="H360" s="45" t="n"/>
      <c r="I360" s="45">
        <f>IF(H360&gt;0, H360*G360, "")</f>
        <v/>
      </c>
      <c r="J360" s="45" t="n"/>
      <c r="K360" s="45" t="n">
        <v>0</v>
      </c>
      <c r="L360" s="25">
        <f>IF(I360&gt;0, MAX(0, I360-J360-K360), 0)</f>
        <v/>
      </c>
      <c r="M360" s="46" t="n">
        <v>0.75</v>
      </c>
      <c r="N360" s="17">
        <f>L360*M360</f>
        <v/>
      </c>
    </row>
    <row r="361" ht="19" customHeight="1">
      <c r="A361" s="43" t="inlineStr">
        <is>
          <t>20/09/2026</t>
        </is>
      </c>
      <c r="B361" s="43" t="inlineStr">
        <is>
          <t>Domingo</t>
        </is>
      </c>
      <c r="C361" s="43" t="inlineStr">
        <is>
          <t>Sucursal Central</t>
        </is>
      </c>
      <c r="D361" s="43" t="n">
        <v>70</v>
      </c>
      <c r="E361" s="43" t="inlineStr">
        <is>
          <t>Reposteria</t>
        </is>
      </c>
      <c r="F361" s="44" t="inlineStr">
        <is>
          <t>Cortada de Fresa</t>
        </is>
      </c>
      <c r="G361" s="43" t="n">
        <v>14</v>
      </c>
      <c r="H361" s="45" t="n"/>
      <c r="I361" s="45">
        <f>IF(H361&gt;0, H361*G361, "")</f>
        <v/>
      </c>
      <c r="J361" s="45" t="n"/>
      <c r="K361" s="45" t="n">
        <v>0</v>
      </c>
      <c r="L361" s="25">
        <f>IF(I361&gt;0, MAX(0, I361-J361-K361), 0)</f>
        <v/>
      </c>
      <c r="M361" s="46" t="n">
        <v>2.5</v>
      </c>
      <c r="N361" s="17">
        <f>L361*M361</f>
        <v/>
      </c>
    </row>
    <row r="362" ht="19" customHeight="1">
      <c r="A362" s="43" t="inlineStr">
        <is>
          <t>20/09/2026</t>
        </is>
      </c>
      <c r="B362" s="43" t="inlineStr">
        <is>
          <t>Domingo</t>
        </is>
      </c>
      <c r="C362" s="43" t="inlineStr">
        <is>
          <t>Sucursal Central</t>
        </is>
      </c>
      <c r="D362" s="43" t="n">
        <v>71</v>
      </c>
      <c r="E362" s="43" t="inlineStr">
        <is>
          <t>Reposteria</t>
        </is>
      </c>
      <c r="F362" s="44" t="inlineStr">
        <is>
          <t>Cortada de Chocolate</t>
        </is>
      </c>
      <c r="G362" s="43" t="n">
        <v>14</v>
      </c>
      <c r="H362" s="45" t="n"/>
      <c r="I362" s="45">
        <f>IF(H362&gt;0, H362*G362, "")</f>
        <v/>
      </c>
      <c r="J362" s="45" t="n"/>
      <c r="K362" s="45" t="n">
        <v>0</v>
      </c>
      <c r="L362" s="25">
        <f>IF(I362&gt;0, MAX(0, I362-J362-K362), 0)</f>
        <v/>
      </c>
      <c r="M362" s="46" t="n">
        <v>2.5</v>
      </c>
      <c r="N362" s="17">
        <f>L362*M362</f>
        <v/>
      </c>
    </row>
    <row r="363" ht="19" customHeight="1">
      <c r="A363" s="31" t="inlineStr">
        <is>
          <t>21/09/2026</t>
        </is>
      </c>
      <c r="B363" s="31" t="inlineStr">
        <is>
          <t>Lunes</t>
        </is>
      </c>
      <c r="C363" s="31" t="inlineStr">
        <is>
          <t>Sucursal Central</t>
        </is>
      </c>
      <c r="D363" s="31" t="n">
        <v>54</v>
      </c>
      <c r="E363" s="31" t="inlineStr">
        <is>
          <t>Pan</t>
        </is>
      </c>
      <c r="F363" s="32" t="inlineStr">
        <is>
          <t>Pan Francés Tradicional</t>
        </is>
      </c>
      <c r="G363" s="31" t="n">
        <v>36</v>
      </c>
      <c r="H363" s="33" t="n"/>
      <c r="I363" s="33">
        <f>IF(H363&gt;0, H363*G363, "")</f>
        <v/>
      </c>
      <c r="J363" s="33" t="n"/>
      <c r="K363" s="33" t="n">
        <v>0</v>
      </c>
      <c r="L363" s="34">
        <f>IF(I363&gt;0, MAX(0, I363-J363-K363), 0)</f>
        <v/>
      </c>
      <c r="M363" s="35" t="n">
        <v>0.5</v>
      </c>
      <c r="N363" s="36">
        <f>L363*M363</f>
        <v/>
      </c>
    </row>
    <row r="364" ht="19" customHeight="1">
      <c r="A364" s="31" t="inlineStr">
        <is>
          <t>21/09/2026</t>
        </is>
      </c>
      <c r="B364" s="31" t="inlineStr">
        <is>
          <t>Lunes</t>
        </is>
      </c>
      <c r="C364" s="31" t="inlineStr">
        <is>
          <t>Sucursal Central</t>
        </is>
      </c>
      <c r="D364" s="31" t="n">
        <v>55</v>
      </c>
      <c r="E364" s="31" t="inlineStr">
        <is>
          <t>Pan Dulce</t>
        </is>
      </c>
      <c r="F364" s="32" t="inlineStr">
        <is>
          <t>Pan Dulce Pequeño</t>
        </is>
      </c>
      <c r="G364" s="31" t="n">
        <v>40</v>
      </c>
      <c r="H364" s="33" t="n"/>
      <c r="I364" s="33">
        <f>IF(H364&gt;0, H364*G364, "")</f>
        <v/>
      </c>
      <c r="J364" s="33" t="n"/>
      <c r="K364" s="33" t="n">
        <v>0</v>
      </c>
      <c r="L364" s="34">
        <f>IF(I364&gt;0, MAX(0, I364-J364-K364), 0)</f>
        <v/>
      </c>
      <c r="M364" s="35" t="n">
        <v>0.5</v>
      </c>
      <c r="N364" s="36">
        <f>L364*M364</f>
        <v/>
      </c>
    </row>
    <row r="365" ht="19" customHeight="1">
      <c r="A365" s="31" t="inlineStr">
        <is>
          <t>21/09/2026</t>
        </is>
      </c>
      <c r="B365" s="31" t="inlineStr">
        <is>
          <t>Lunes</t>
        </is>
      </c>
      <c r="C365" s="31" t="inlineStr">
        <is>
          <t>Sucursal Central</t>
        </is>
      </c>
      <c r="D365" s="31" t="n">
        <v>56</v>
      </c>
      <c r="E365" s="31" t="inlineStr">
        <is>
          <t>Pan Dulce</t>
        </is>
      </c>
      <c r="F365" s="32" t="inlineStr">
        <is>
          <t>Pan Dulce Grande</t>
        </is>
      </c>
      <c r="G365" s="31" t="n">
        <v>20</v>
      </c>
      <c r="H365" s="33" t="n"/>
      <c r="I365" s="33">
        <f>IF(H365&gt;0, H365*G365, "")</f>
        <v/>
      </c>
      <c r="J365" s="33" t="n"/>
      <c r="K365" s="33" t="n">
        <v>0</v>
      </c>
      <c r="L365" s="34">
        <f>IF(I365&gt;0, MAX(0, I365-J365-K365), 0)</f>
        <v/>
      </c>
      <c r="M365" s="35" t="n">
        <v>1.25</v>
      </c>
      <c r="N365" s="36">
        <f>L365*M365</f>
        <v/>
      </c>
    </row>
    <row r="366" ht="19" customHeight="1">
      <c r="A366" s="31" t="inlineStr">
        <is>
          <t>21/09/2026</t>
        </is>
      </c>
      <c r="B366" s="31" t="inlineStr">
        <is>
          <t>Lunes</t>
        </is>
      </c>
      <c r="C366" s="31" t="inlineStr">
        <is>
          <t>Sucursal Central</t>
        </is>
      </c>
      <c r="D366" s="31" t="n">
        <v>57</v>
      </c>
      <c r="E366" s="31" t="inlineStr">
        <is>
          <t>Galletas</t>
        </is>
      </c>
      <c r="F366" s="32" t="inlineStr">
        <is>
          <t>Pan Galleta</t>
        </is>
      </c>
      <c r="G366" s="31" t="n">
        <v>20</v>
      </c>
      <c r="H366" s="33" t="n"/>
      <c r="I366" s="33">
        <f>IF(H366&gt;0, H366*G366, "")</f>
        <v/>
      </c>
      <c r="J366" s="33" t="n"/>
      <c r="K366" s="33" t="n">
        <v>0</v>
      </c>
      <c r="L366" s="34">
        <f>IF(I366&gt;0, MAX(0, I366-J366-K366), 0)</f>
        <v/>
      </c>
      <c r="M366" s="35" t="n">
        <v>1.25</v>
      </c>
      <c r="N366" s="36">
        <f>L366*M366</f>
        <v/>
      </c>
    </row>
    <row r="367" ht="19" customHeight="1">
      <c r="A367" s="31" t="inlineStr">
        <is>
          <t>21/09/2026</t>
        </is>
      </c>
      <c r="B367" s="31" t="inlineStr">
        <is>
          <t>Lunes</t>
        </is>
      </c>
      <c r="C367" s="31" t="inlineStr">
        <is>
          <t>Sucursal Central</t>
        </is>
      </c>
      <c r="D367" s="31" t="n">
        <v>58</v>
      </c>
      <c r="E367" s="31" t="inlineStr">
        <is>
          <t>Galletas</t>
        </is>
      </c>
      <c r="F367" s="32" t="inlineStr">
        <is>
          <t>Champurrada Pequeña</t>
        </is>
      </c>
      <c r="G367" s="31" t="n">
        <v>24</v>
      </c>
      <c r="H367" s="33" t="n"/>
      <c r="I367" s="33">
        <f>IF(H367&gt;0, H367*G367, "")</f>
        <v/>
      </c>
      <c r="J367" s="33" t="n"/>
      <c r="K367" s="33" t="n">
        <v>0</v>
      </c>
      <c r="L367" s="34">
        <f>IF(I367&gt;0, MAX(0, I367-J367-K367), 0)</f>
        <v/>
      </c>
      <c r="M367" s="35" t="n">
        <v>0.5</v>
      </c>
      <c r="N367" s="36">
        <f>L367*M367</f>
        <v/>
      </c>
    </row>
    <row r="368" ht="19" customHeight="1">
      <c r="A368" s="31" t="inlineStr">
        <is>
          <t>21/09/2026</t>
        </is>
      </c>
      <c r="B368" s="31" t="inlineStr">
        <is>
          <t>Lunes</t>
        </is>
      </c>
      <c r="C368" s="31" t="inlineStr">
        <is>
          <t>Sucursal Central</t>
        </is>
      </c>
      <c r="D368" s="31" t="n">
        <v>59</v>
      </c>
      <c r="E368" s="31" t="inlineStr">
        <is>
          <t>Galletas</t>
        </is>
      </c>
      <c r="F368" s="32" t="inlineStr">
        <is>
          <t>Champurrada Grande</t>
        </is>
      </c>
      <c r="G368" s="31" t="n">
        <v>15</v>
      </c>
      <c r="H368" s="33" t="n"/>
      <c r="I368" s="33">
        <f>IF(H368&gt;0, H368*G368, "")</f>
        <v/>
      </c>
      <c r="J368" s="33" t="n"/>
      <c r="K368" s="33" t="n">
        <v>0</v>
      </c>
      <c r="L368" s="34">
        <f>IF(I368&gt;0, MAX(0, I368-J368-K368), 0)</f>
        <v/>
      </c>
      <c r="M368" s="35" t="n">
        <v>1.25</v>
      </c>
      <c r="N368" s="36">
        <f>L368*M368</f>
        <v/>
      </c>
    </row>
    <row r="369" ht="19" customHeight="1">
      <c r="A369" s="31" t="inlineStr">
        <is>
          <t>21/09/2026</t>
        </is>
      </c>
      <c r="B369" s="31" t="inlineStr">
        <is>
          <t>Lunes</t>
        </is>
      </c>
      <c r="C369" s="31" t="inlineStr">
        <is>
          <t>Sucursal Central</t>
        </is>
      </c>
      <c r="D369" s="31" t="n">
        <v>60</v>
      </c>
      <c r="E369" s="31" t="inlineStr">
        <is>
          <t>Reposteria</t>
        </is>
      </c>
      <c r="F369" s="32" t="inlineStr">
        <is>
          <t>Cubilete de Vainilla</t>
        </is>
      </c>
      <c r="G369" s="31" t="n">
        <v>30</v>
      </c>
      <c r="H369" s="33" t="n"/>
      <c r="I369" s="33">
        <f>IF(H369&gt;0, H369*G369, "")</f>
        <v/>
      </c>
      <c r="J369" s="33" t="n"/>
      <c r="K369" s="33" t="n">
        <v>0</v>
      </c>
      <c r="L369" s="34">
        <f>IF(I369&gt;0, MAX(0, I369-J369-K369), 0)</f>
        <v/>
      </c>
      <c r="M369" s="35" t="n">
        <v>2</v>
      </c>
      <c r="N369" s="36">
        <f>L369*M369</f>
        <v/>
      </c>
    </row>
    <row r="370" ht="19" customHeight="1">
      <c r="A370" s="31" t="inlineStr">
        <is>
          <t>21/09/2026</t>
        </is>
      </c>
      <c r="B370" s="31" t="inlineStr">
        <is>
          <t>Lunes</t>
        </is>
      </c>
      <c r="C370" s="31" t="inlineStr">
        <is>
          <t>Sucursal Central</t>
        </is>
      </c>
      <c r="D370" s="31" t="n">
        <v>61</v>
      </c>
      <c r="E370" s="31" t="inlineStr">
        <is>
          <t>Reposteria</t>
        </is>
      </c>
      <c r="F370" s="32" t="inlineStr">
        <is>
          <t>Cubilete de Banano</t>
        </is>
      </c>
      <c r="G370" s="31" t="n">
        <v>30</v>
      </c>
      <c r="H370" s="33" t="n"/>
      <c r="I370" s="33">
        <f>IF(H370&gt;0, H370*G370, "")</f>
        <v/>
      </c>
      <c r="J370" s="33" t="n"/>
      <c r="K370" s="33" t="n">
        <v>0</v>
      </c>
      <c r="L370" s="34">
        <f>IF(I370&gt;0, MAX(0, I370-J370-K370), 0)</f>
        <v/>
      </c>
      <c r="M370" s="35" t="n">
        <v>2</v>
      </c>
      <c r="N370" s="36">
        <f>L370*M370</f>
        <v/>
      </c>
    </row>
    <row r="371" ht="19" customHeight="1">
      <c r="A371" s="31" t="inlineStr">
        <is>
          <t>21/09/2026</t>
        </is>
      </c>
      <c r="B371" s="31" t="inlineStr">
        <is>
          <t>Lunes</t>
        </is>
      </c>
      <c r="C371" s="31" t="inlineStr">
        <is>
          <t>Sucursal Central</t>
        </is>
      </c>
      <c r="D371" s="31" t="n">
        <v>62</v>
      </c>
      <c r="E371" s="31" t="inlineStr">
        <is>
          <t>Reposteria</t>
        </is>
      </c>
      <c r="F371" s="32" t="inlineStr">
        <is>
          <t>Empanada de Piña</t>
        </is>
      </c>
      <c r="G371" s="31" t="n">
        <v>16</v>
      </c>
      <c r="H371" s="33" t="n"/>
      <c r="I371" s="33">
        <f>IF(H371&gt;0, H371*G371, "")</f>
        <v/>
      </c>
      <c r="J371" s="33" t="n"/>
      <c r="K371" s="33" t="n">
        <v>0</v>
      </c>
      <c r="L371" s="34">
        <f>IF(I371&gt;0, MAX(0, I371-J371-K371), 0)</f>
        <v/>
      </c>
      <c r="M371" s="35" t="n">
        <v>2.5</v>
      </c>
      <c r="N371" s="36">
        <f>L371*M371</f>
        <v/>
      </c>
    </row>
    <row r="372" ht="19" customHeight="1">
      <c r="A372" s="31" t="inlineStr">
        <is>
          <t>21/09/2026</t>
        </is>
      </c>
      <c r="B372" s="31" t="inlineStr">
        <is>
          <t>Lunes</t>
        </is>
      </c>
      <c r="C372" s="31" t="inlineStr">
        <is>
          <t>Sucursal Central</t>
        </is>
      </c>
      <c r="D372" s="31" t="n">
        <v>63</v>
      </c>
      <c r="E372" s="31" t="inlineStr">
        <is>
          <t>Reposteria</t>
        </is>
      </c>
      <c r="F372" s="32" t="inlineStr">
        <is>
          <t>Empanada de Manjar</t>
        </is>
      </c>
      <c r="G372" s="31" t="n">
        <v>16</v>
      </c>
      <c r="H372" s="33" t="n"/>
      <c r="I372" s="33">
        <f>IF(H372&gt;0, H372*G372, "")</f>
        <v/>
      </c>
      <c r="J372" s="33" t="n"/>
      <c r="K372" s="33" t="n">
        <v>0</v>
      </c>
      <c r="L372" s="34">
        <f>IF(I372&gt;0, MAX(0, I372-J372-K372), 0)</f>
        <v/>
      </c>
      <c r="M372" s="35" t="n">
        <v>2.5</v>
      </c>
      <c r="N372" s="36">
        <f>L372*M372</f>
        <v/>
      </c>
    </row>
    <row r="373" ht="19" customHeight="1">
      <c r="A373" s="31" t="inlineStr">
        <is>
          <t>21/09/2026</t>
        </is>
      </c>
      <c r="B373" s="31" t="inlineStr">
        <is>
          <t>Lunes</t>
        </is>
      </c>
      <c r="C373" s="31" t="inlineStr">
        <is>
          <t>Sucursal Central</t>
        </is>
      </c>
      <c r="D373" s="31" t="n">
        <v>64</v>
      </c>
      <c r="E373" s="31" t="inlineStr">
        <is>
          <t>Galletas</t>
        </is>
      </c>
      <c r="F373" s="32" t="inlineStr">
        <is>
          <t>Polvorosa Tradicional</t>
        </is>
      </c>
      <c r="G373" s="31" t="n">
        <v>15</v>
      </c>
      <c r="H373" s="33" t="n"/>
      <c r="I373" s="33">
        <f>IF(H373&gt;0, H373*G373, "")</f>
        <v/>
      </c>
      <c r="J373" s="33" t="n"/>
      <c r="K373" s="33" t="n">
        <v>0</v>
      </c>
      <c r="L373" s="34">
        <f>IF(I373&gt;0, MAX(0, I373-J373-K373), 0)</f>
        <v/>
      </c>
      <c r="M373" s="35" t="n">
        <v>1.25</v>
      </c>
      <c r="N373" s="36">
        <f>L373*M373</f>
        <v/>
      </c>
    </row>
    <row r="374" ht="19" customHeight="1">
      <c r="A374" s="31" t="inlineStr">
        <is>
          <t>21/09/2026</t>
        </is>
      </c>
      <c r="B374" s="31" t="inlineStr">
        <is>
          <t>Lunes</t>
        </is>
      </c>
      <c r="C374" s="31" t="inlineStr">
        <is>
          <t>Sucursal Central</t>
        </is>
      </c>
      <c r="D374" s="31" t="n">
        <v>65</v>
      </c>
      <c r="E374" s="31" t="inlineStr">
        <is>
          <t>Donas</t>
        </is>
      </c>
      <c r="F374" s="32" t="inlineStr">
        <is>
          <t>Dona Simple Glaseada</t>
        </is>
      </c>
      <c r="G374" s="31" t="n">
        <v>24</v>
      </c>
      <c r="H374" s="33" t="n"/>
      <c r="I374" s="33">
        <f>IF(H374&gt;0, H374*G374, "")</f>
        <v/>
      </c>
      <c r="J374" s="33" t="n"/>
      <c r="K374" s="33" t="n">
        <v>0</v>
      </c>
      <c r="L374" s="34">
        <f>IF(I374&gt;0, MAX(0, I374-J374-K374), 0)</f>
        <v/>
      </c>
      <c r="M374" s="35" t="n">
        <v>2.5</v>
      </c>
      <c r="N374" s="36">
        <f>L374*M374</f>
        <v/>
      </c>
    </row>
    <row r="375" ht="19" customHeight="1">
      <c r="A375" s="31" t="inlineStr">
        <is>
          <t>21/09/2026</t>
        </is>
      </c>
      <c r="B375" s="31" t="inlineStr">
        <is>
          <t>Lunes</t>
        </is>
      </c>
      <c r="C375" s="31" t="inlineStr">
        <is>
          <t>Sucursal Central</t>
        </is>
      </c>
      <c r="D375" s="31" t="n">
        <v>66</v>
      </c>
      <c r="E375" s="31" t="inlineStr">
        <is>
          <t>Donas</t>
        </is>
      </c>
      <c r="F375" s="32" t="inlineStr">
        <is>
          <t>Dona Rellena de Manjar</t>
        </is>
      </c>
      <c r="G375" s="31" t="n">
        <v>24</v>
      </c>
      <c r="H375" s="33" t="n"/>
      <c r="I375" s="33">
        <f>IF(H375&gt;0, H375*G375, "")</f>
        <v/>
      </c>
      <c r="J375" s="33" t="n"/>
      <c r="K375" s="33" t="n">
        <v>0</v>
      </c>
      <c r="L375" s="34">
        <f>IF(I375&gt;0, MAX(0, I375-J375-K375), 0)</f>
        <v/>
      </c>
      <c r="M375" s="35" t="n">
        <v>4</v>
      </c>
      <c r="N375" s="36">
        <f>L375*M375</f>
        <v/>
      </c>
    </row>
    <row r="376" ht="19" customHeight="1">
      <c r="A376" s="31" t="inlineStr">
        <is>
          <t>21/09/2026</t>
        </is>
      </c>
      <c r="B376" s="31" t="inlineStr">
        <is>
          <t>Lunes</t>
        </is>
      </c>
      <c r="C376" s="31" t="inlineStr">
        <is>
          <t>Sucursal Central</t>
        </is>
      </c>
      <c r="D376" s="31" t="n">
        <v>67</v>
      </c>
      <c r="E376" s="31" t="inlineStr">
        <is>
          <t>Donas</t>
        </is>
      </c>
      <c r="F376" s="32" t="inlineStr">
        <is>
          <t>Dona Rellena de Fresa</t>
        </is>
      </c>
      <c r="G376" s="31" t="n">
        <v>24</v>
      </c>
      <c r="H376" s="33" t="n"/>
      <c r="I376" s="33">
        <f>IF(H376&gt;0, H376*G376, "")</f>
        <v/>
      </c>
      <c r="J376" s="33" t="n"/>
      <c r="K376" s="33" t="n">
        <v>0</v>
      </c>
      <c r="L376" s="34">
        <f>IF(I376&gt;0, MAX(0, I376-J376-K376), 0)</f>
        <v/>
      </c>
      <c r="M376" s="35" t="n">
        <v>4</v>
      </c>
      <c r="N376" s="36">
        <f>L376*M376</f>
        <v/>
      </c>
    </row>
    <row r="377" ht="19" customHeight="1">
      <c r="A377" s="31" t="inlineStr">
        <is>
          <t>21/09/2026</t>
        </is>
      </c>
      <c r="B377" s="31" t="inlineStr">
        <is>
          <t>Lunes</t>
        </is>
      </c>
      <c r="C377" s="31" t="inlineStr">
        <is>
          <t>Sucursal Central</t>
        </is>
      </c>
      <c r="D377" s="31" t="n">
        <v>68</v>
      </c>
      <c r="E377" s="31" t="inlineStr">
        <is>
          <t>Pan Dulce</t>
        </is>
      </c>
      <c r="F377" s="32" t="inlineStr">
        <is>
          <t>Campechana</t>
        </is>
      </c>
      <c r="G377" s="31" t="n">
        <v>20</v>
      </c>
      <c r="H377" s="33" t="n"/>
      <c r="I377" s="33">
        <f>IF(H377&gt;0, H377*G377, "")</f>
        <v/>
      </c>
      <c r="J377" s="33" t="n"/>
      <c r="K377" s="33" t="n">
        <v>0</v>
      </c>
      <c r="L377" s="34">
        <f>IF(I377&gt;0, MAX(0, I377-J377-K377), 0)</f>
        <v/>
      </c>
      <c r="M377" s="35" t="n">
        <v>1.25</v>
      </c>
      <c r="N377" s="36">
        <f>L377*M377</f>
        <v/>
      </c>
    </row>
    <row r="378" ht="19" customHeight="1">
      <c r="A378" s="31" t="inlineStr">
        <is>
          <t>21/09/2026</t>
        </is>
      </c>
      <c r="B378" s="31" t="inlineStr">
        <is>
          <t>Lunes</t>
        </is>
      </c>
      <c r="C378" s="31" t="inlineStr">
        <is>
          <t>Sucursal Central</t>
        </is>
      </c>
      <c r="D378" s="31" t="n">
        <v>69</v>
      </c>
      <c r="E378" s="31" t="inlineStr">
        <is>
          <t>Pan Dulce</t>
        </is>
      </c>
      <c r="F378" s="32" t="inlineStr">
        <is>
          <t>Pasitas</t>
        </is>
      </c>
      <c r="G378" s="31" t="n">
        <v>30</v>
      </c>
      <c r="H378" s="33" t="n"/>
      <c r="I378" s="33">
        <f>IF(H378&gt;0, H378*G378, "")</f>
        <v/>
      </c>
      <c r="J378" s="33" t="n"/>
      <c r="K378" s="33" t="n">
        <v>0</v>
      </c>
      <c r="L378" s="34">
        <f>IF(I378&gt;0, MAX(0, I378-J378-K378), 0)</f>
        <v/>
      </c>
      <c r="M378" s="35" t="n">
        <v>0.75</v>
      </c>
      <c r="N378" s="36">
        <f>L378*M378</f>
        <v/>
      </c>
    </row>
    <row r="379" ht="19" customHeight="1">
      <c r="A379" s="31" t="inlineStr">
        <is>
          <t>21/09/2026</t>
        </is>
      </c>
      <c r="B379" s="31" t="inlineStr">
        <is>
          <t>Lunes</t>
        </is>
      </c>
      <c r="C379" s="31" t="inlineStr">
        <is>
          <t>Sucursal Central</t>
        </is>
      </c>
      <c r="D379" s="31" t="n">
        <v>70</v>
      </c>
      <c r="E379" s="31" t="inlineStr">
        <is>
          <t>Reposteria</t>
        </is>
      </c>
      <c r="F379" s="32" t="inlineStr">
        <is>
          <t>Cortada de Fresa</t>
        </is>
      </c>
      <c r="G379" s="31" t="n">
        <v>14</v>
      </c>
      <c r="H379" s="33" t="n"/>
      <c r="I379" s="33">
        <f>IF(H379&gt;0, H379*G379, "")</f>
        <v/>
      </c>
      <c r="J379" s="33" t="n"/>
      <c r="K379" s="33" t="n">
        <v>0</v>
      </c>
      <c r="L379" s="34">
        <f>IF(I379&gt;0, MAX(0, I379-J379-K379), 0)</f>
        <v/>
      </c>
      <c r="M379" s="35" t="n">
        <v>2.5</v>
      </c>
      <c r="N379" s="36">
        <f>L379*M379</f>
        <v/>
      </c>
    </row>
    <row r="380" ht="19" customHeight="1">
      <c r="A380" s="31" t="inlineStr">
        <is>
          <t>21/09/2026</t>
        </is>
      </c>
      <c r="B380" s="31" t="inlineStr">
        <is>
          <t>Lunes</t>
        </is>
      </c>
      <c r="C380" s="31" t="inlineStr">
        <is>
          <t>Sucursal Central</t>
        </is>
      </c>
      <c r="D380" s="31" t="n">
        <v>71</v>
      </c>
      <c r="E380" s="31" t="inlineStr">
        <is>
          <t>Reposteria</t>
        </is>
      </c>
      <c r="F380" s="32" t="inlineStr">
        <is>
          <t>Cortada de Chocolate</t>
        </is>
      </c>
      <c r="G380" s="31" t="n">
        <v>14</v>
      </c>
      <c r="H380" s="33" t="n"/>
      <c r="I380" s="33">
        <f>IF(H380&gt;0, H380*G380, "")</f>
        <v/>
      </c>
      <c r="J380" s="33" t="n"/>
      <c r="K380" s="33" t="n">
        <v>0</v>
      </c>
      <c r="L380" s="34">
        <f>IF(I380&gt;0, MAX(0, I380-J380-K380), 0)</f>
        <v/>
      </c>
      <c r="M380" s="35" t="n">
        <v>2.5</v>
      </c>
      <c r="N380" s="36">
        <f>L380*M380</f>
        <v/>
      </c>
    </row>
    <row r="381" ht="19" customHeight="1">
      <c r="A381" s="37" t="inlineStr">
        <is>
          <t>22/09/2026</t>
        </is>
      </c>
      <c r="B381" s="37" t="inlineStr">
        <is>
          <t>Martes</t>
        </is>
      </c>
      <c r="C381" s="37" t="inlineStr">
        <is>
          <t>Sucursal Central</t>
        </is>
      </c>
      <c r="D381" s="37" t="n">
        <v>54</v>
      </c>
      <c r="E381" s="37" t="inlineStr">
        <is>
          <t>Pan</t>
        </is>
      </c>
      <c r="F381" s="38" t="inlineStr">
        <is>
          <t>Pan Francés Tradicional</t>
        </is>
      </c>
      <c r="G381" s="37" t="n">
        <v>36</v>
      </c>
      <c r="H381" s="39" t="n"/>
      <c r="I381" s="39">
        <f>IF(H381&gt;0, H381*G381, "")</f>
        <v/>
      </c>
      <c r="J381" s="39" t="n"/>
      <c r="K381" s="39" t="n">
        <v>0</v>
      </c>
      <c r="L381" s="40">
        <f>IF(I381&gt;0, MAX(0, I381-J381-K381), 0)</f>
        <v/>
      </c>
      <c r="M381" s="41" t="n">
        <v>0.5</v>
      </c>
      <c r="N381" s="42">
        <f>L381*M381</f>
        <v/>
      </c>
    </row>
    <row r="382" ht="19" customHeight="1">
      <c r="A382" s="37" t="inlineStr">
        <is>
          <t>22/09/2026</t>
        </is>
      </c>
      <c r="B382" s="37" t="inlineStr">
        <is>
          <t>Martes</t>
        </is>
      </c>
      <c r="C382" s="37" t="inlineStr">
        <is>
          <t>Sucursal Central</t>
        </is>
      </c>
      <c r="D382" s="37" t="n">
        <v>55</v>
      </c>
      <c r="E382" s="37" t="inlineStr">
        <is>
          <t>Pan Dulce</t>
        </is>
      </c>
      <c r="F382" s="38" t="inlineStr">
        <is>
          <t>Pan Dulce Pequeño</t>
        </is>
      </c>
      <c r="G382" s="37" t="n">
        <v>40</v>
      </c>
      <c r="H382" s="39" t="n"/>
      <c r="I382" s="39">
        <f>IF(H382&gt;0, H382*G382, "")</f>
        <v/>
      </c>
      <c r="J382" s="39" t="n"/>
      <c r="K382" s="39" t="n">
        <v>0</v>
      </c>
      <c r="L382" s="40">
        <f>IF(I382&gt;0, MAX(0, I382-J382-K382), 0)</f>
        <v/>
      </c>
      <c r="M382" s="41" t="n">
        <v>0.5</v>
      </c>
      <c r="N382" s="42">
        <f>L382*M382</f>
        <v/>
      </c>
    </row>
    <row r="383" ht="19" customHeight="1">
      <c r="A383" s="37" t="inlineStr">
        <is>
          <t>22/09/2026</t>
        </is>
      </c>
      <c r="B383" s="37" t="inlineStr">
        <is>
          <t>Martes</t>
        </is>
      </c>
      <c r="C383" s="37" t="inlineStr">
        <is>
          <t>Sucursal Central</t>
        </is>
      </c>
      <c r="D383" s="37" t="n">
        <v>56</v>
      </c>
      <c r="E383" s="37" t="inlineStr">
        <is>
          <t>Pan Dulce</t>
        </is>
      </c>
      <c r="F383" s="38" t="inlineStr">
        <is>
          <t>Pan Dulce Grande</t>
        </is>
      </c>
      <c r="G383" s="37" t="n">
        <v>20</v>
      </c>
      <c r="H383" s="39" t="n"/>
      <c r="I383" s="39">
        <f>IF(H383&gt;0, H383*G383, "")</f>
        <v/>
      </c>
      <c r="J383" s="39" t="n"/>
      <c r="K383" s="39" t="n">
        <v>0</v>
      </c>
      <c r="L383" s="40">
        <f>IF(I383&gt;0, MAX(0, I383-J383-K383), 0)</f>
        <v/>
      </c>
      <c r="M383" s="41" t="n">
        <v>1.25</v>
      </c>
      <c r="N383" s="42">
        <f>L383*M383</f>
        <v/>
      </c>
    </row>
    <row r="384" ht="19" customHeight="1">
      <c r="A384" s="37" t="inlineStr">
        <is>
          <t>22/09/2026</t>
        </is>
      </c>
      <c r="B384" s="37" t="inlineStr">
        <is>
          <t>Martes</t>
        </is>
      </c>
      <c r="C384" s="37" t="inlineStr">
        <is>
          <t>Sucursal Central</t>
        </is>
      </c>
      <c r="D384" s="37" t="n">
        <v>57</v>
      </c>
      <c r="E384" s="37" t="inlineStr">
        <is>
          <t>Galletas</t>
        </is>
      </c>
      <c r="F384" s="38" t="inlineStr">
        <is>
          <t>Pan Galleta</t>
        </is>
      </c>
      <c r="G384" s="37" t="n">
        <v>20</v>
      </c>
      <c r="H384" s="39" t="n"/>
      <c r="I384" s="39">
        <f>IF(H384&gt;0, H384*G384, "")</f>
        <v/>
      </c>
      <c r="J384" s="39" t="n"/>
      <c r="K384" s="39" t="n">
        <v>0</v>
      </c>
      <c r="L384" s="40">
        <f>IF(I384&gt;0, MAX(0, I384-J384-K384), 0)</f>
        <v/>
      </c>
      <c r="M384" s="41" t="n">
        <v>1.25</v>
      </c>
      <c r="N384" s="42">
        <f>L384*M384</f>
        <v/>
      </c>
    </row>
    <row r="385" ht="19" customHeight="1">
      <c r="A385" s="37" t="inlineStr">
        <is>
          <t>22/09/2026</t>
        </is>
      </c>
      <c r="B385" s="37" t="inlineStr">
        <is>
          <t>Martes</t>
        </is>
      </c>
      <c r="C385" s="37" t="inlineStr">
        <is>
          <t>Sucursal Central</t>
        </is>
      </c>
      <c r="D385" s="37" t="n">
        <v>58</v>
      </c>
      <c r="E385" s="37" t="inlineStr">
        <is>
          <t>Galletas</t>
        </is>
      </c>
      <c r="F385" s="38" t="inlineStr">
        <is>
          <t>Champurrada Pequeña</t>
        </is>
      </c>
      <c r="G385" s="37" t="n">
        <v>24</v>
      </c>
      <c r="H385" s="39" t="n"/>
      <c r="I385" s="39">
        <f>IF(H385&gt;0, H385*G385, "")</f>
        <v/>
      </c>
      <c r="J385" s="39" t="n"/>
      <c r="K385" s="39" t="n">
        <v>0</v>
      </c>
      <c r="L385" s="40">
        <f>IF(I385&gt;0, MAX(0, I385-J385-K385), 0)</f>
        <v/>
      </c>
      <c r="M385" s="41" t="n">
        <v>0.5</v>
      </c>
      <c r="N385" s="42">
        <f>L385*M385</f>
        <v/>
      </c>
    </row>
    <row r="386" ht="19" customHeight="1">
      <c r="A386" s="37" t="inlineStr">
        <is>
          <t>22/09/2026</t>
        </is>
      </c>
      <c r="B386" s="37" t="inlineStr">
        <is>
          <t>Martes</t>
        </is>
      </c>
      <c r="C386" s="37" t="inlineStr">
        <is>
          <t>Sucursal Central</t>
        </is>
      </c>
      <c r="D386" s="37" t="n">
        <v>59</v>
      </c>
      <c r="E386" s="37" t="inlineStr">
        <is>
          <t>Galletas</t>
        </is>
      </c>
      <c r="F386" s="38" t="inlineStr">
        <is>
          <t>Champurrada Grande</t>
        </is>
      </c>
      <c r="G386" s="37" t="n">
        <v>15</v>
      </c>
      <c r="H386" s="39" t="n"/>
      <c r="I386" s="39">
        <f>IF(H386&gt;0, H386*G386, "")</f>
        <v/>
      </c>
      <c r="J386" s="39" t="n"/>
      <c r="K386" s="39" t="n">
        <v>0</v>
      </c>
      <c r="L386" s="40">
        <f>IF(I386&gt;0, MAX(0, I386-J386-K386), 0)</f>
        <v/>
      </c>
      <c r="M386" s="41" t="n">
        <v>1.25</v>
      </c>
      <c r="N386" s="42">
        <f>L386*M386</f>
        <v/>
      </c>
    </row>
    <row r="387" ht="19" customHeight="1">
      <c r="A387" s="37" t="inlineStr">
        <is>
          <t>22/09/2026</t>
        </is>
      </c>
      <c r="B387" s="37" t="inlineStr">
        <is>
          <t>Martes</t>
        </is>
      </c>
      <c r="C387" s="37" t="inlineStr">
        <is>
          <t>Sucursal Central</t>
        </is>
      </c>
      <c r="D387" s="37" t="n">
        <v>60</v>
      </c>
      <c r="E387" s="37" t="inlineStr">
        <is>
          <t>Reposteria</t>
        </is>
      </c>
      <c r="F387" s="38" t="inlineStr">
        <is>
          <t>Cubilete de Vainilla</t>
        </is>
      </c>
      <c r="G387" s="37" t="n">
        <v>30</v>
      </c>
      <c r="H387" s="39" t="n"/>
      <c r="I387" s="39">
        <f>IF(H387&gt;0, H387*G387, "")</f>
        <v/>
      </c>
      <c r="J387" s="39" t="n"/>
      <c r="K387" s="39" t="n">
        <v>0</v>
      </c>
      <c r="L387" s="40">
        <f>IF(I387&gt;0, MAX(0, I387-J387-K387), 0)</f>
        <v/>
      </c>
      <c r="M387" s="41" t="n">
        <v>2</v>
      </c>
      <c r="N387" s="42">
        <f>L387*M387</f>
        <v/>
      </c>
    </row>
    <row r="388" ht="19" customHeight="1">
      <c r="A388" s="37" t="inlineStr">
        <is>
          <t>22/09/2026</t>
        </is>
      </c>
      <c r="B388" s="37" t="inlineStr">
        <is>
          <t>Martes</t>
        </is>
      </c>
      <c r="C388" s="37" t="inlineStr">
        <is>
          <t>Sucursal Central</t>
        </is>
      </c>
      <c r="D388" s="37" t="n">
        <v>61</v>
      </c>
      <c r="E388" s="37" t="inlineStr">
        <is>
          <t>Reposteria</t>
        </is>
      </c>
      <c r="F388" s="38" t="inlineStr">
        <is>
          <t>Cubilete de Banano</t>
        </is>
      </c>
      <c r="G388" s="37" t="n">
        <v>30</v>
      </c>
      <c r="H388" s="39" t="n"/>
      <c r="I388" s="39">
        <f>IF(H388&gt;0, H388*G388, "")</f>
        <v/>
      </c>
      <c r="J388" s="39" t="n"/>
      <c r="K388" s="39" t="n">
        <v>0</v>
      </c>
      <c r="L388" s="40">
        <f>IF(I388&gt;0, MAX(0, I388-J388-K388), 0)</f>
        <v/>
      </c>
      <c r="M388" s="41" t="n">
        <v>2</v>
      </c>
      <c r="N388" s="42">
        <f>L388*M388</f>
        <v/>
      </c>
    </row>
    <row r="389" ht="19" customHeight="1">
      <c r="A389" s="37" t="inlineStr">
        <is>
          <t>22/09/2026</t>
        </is>
      </c>
      <c r="B389" s="37" t="inlineStr">
        <is>
          <t>Martes</t>
        </is>
      </c>
      <c r="C389" s="37" t="inlineStr">
        <is>
          <t>Sucursal Central</t>
        </is>
      </c>
      <c r="D389" s="37" t="n">
        <v>62</v>
      </c>
      <c r="E389" s="37" t="inlineStr">
        <is>
          <t>Reposteria</t>
        </is>
      </c>
      <c r="F389" s="38" t="inlineStr">
        <is>
          <t>Empanada de Piña</t>
        </is>
      </c>
      <c r="G389" s="37" t="n">
        <v>16</v>
      </c>
      <c r="H389" s="39" t="n"/>
      <c r="I389" s="39">
        <f>IF(H389&gt;0, H389*G389, "")</f>
        <v/>
      </c>
      <c r="J389" s="39" t="n"/>
      <c r="K389" s="39" t="n">
        <v>0</v>
      </c>
      <c r="L389" s="40">
        <f>IF(I389&gt;0, MAX(0, I389-J389-K389), 0)</f>
        <v/>
      </c>
      <c r="M389" s="41" t="n">
        <v>2.5</v>
      </c>
      <c r="N389" s="42">
        <f>L389*M389</f>
        <v/>
      </c>
    </row>
    <row r="390" ht="19" customHeight="1">
      <c r="A390" s="37" t="inlineStr">
        <is>
          <t>22/09/2026</t>
        </is>
      </c>
      <c r="B390" s="37" t="inlineStr">
        <is>
          <t>Martes</t>
        </is>
      </c>
      <c r="C390" s="37" t="inlineStr">
        <is>
          <t>Sucursal Central</t>
        </is>
      </c>
      <c r="D390" s="37" t="n">
        <v>63</v>
      </c>
      <c r="E390" s="37" t="inlineStr">
        <is>
          <t>Reposteria</t>
        </is>
      </c>
      <c r="F390" s="38" t="inlineStr">
        <is>
          <t>Empanada de Manjar</t>
        </is>
      </c>
      <c r="G390" s="37" t="n">
        <v>16</v>
      </c>
      <c r="H390" s="39" t="n"/>
      <c r="I390" s="39">
        <f>IF(H390&gt;0, H390*G390, "")</f>
        <v/>
      </c>
      <c r="J390" s="39" t="n"/>
      <c r="K390" s="39" t="n">
        <v>0</v>
      </c>
      <c r="L390" s="40">
        <f>IF(I390&gt;0, MAX(0, I390-J390-K390), 0)</f>
        <v/>
      </c>
      <c r="M390" s="41" t="n">
        <v>2.5</v>
      </c>
      <c r="N390" s="42">
        <f>L390*M390</f>
        <v/>
      </c>
    </row>
    <row r="391" ht="19" customHeight="1">
      <c r="A391" s="37" t="inlineStr">
        <is>
          <t>22/09/2026</t>
        </is>
      </c>
      <c r="B391" s="37" t="inlineStr">
        <is>
          <t>Martes</t>
        </is>
      </c>
      <c r="C391" s="37" t="inlineStr">
        <is>
          <t>Sucursal Central</t>
        </is>
      </c>
      <c r="D391" s="37" t="n">
        <v>64</v>
      </c>
      <c r="E391" s="37" t="inlineStr">
        <is>
          <t>Galletas</t>
        </is>
      </c>
      <c r="F391" s="38" t="inlineStr">
        <is>
          <t>Polvorosa Tradicional</t>
        </is>
      </c>
      <c r="G391" s="37" t="n">
        <v>15</v>
      </c>
      <c r="H391" s="39" t="n"/>
      <c r="I391" s="39">
        <f>IF(H391&gt;0, H391*G391, "")</f>
        <v/>
      </c>
      <c r="J391" s="39" t="n"/>
      <c r="K391" s="39" t="n">
        <v>0</v>
      </c>
      <c r="L391" s="40">
        <f>IF(I391&gt;0, MAX(0, I391-J391-K391), 0)</f>
        <v/>
      </c>
      <c r="M391" s="41" t="n">
        <v>1.25</v>
      </c>
      <c r="N391" s="42">
        <f>L391*M391</f>
        <v/>
      </c>
    </row>
    <row r="392" ht="19" customHeight="1">
      <c r="A392" s="37" t="inlineStr">
        <is>
          <t>22/09/2026</t>
        </is>
      </c>
      <c r="B392" s="37" t="inlineStr">
        <is>
          <t>Martes</t>
        </is>
      </c>
      <c r="C392" s="37" t="inlineStr">
        <is>
          <t>Sucursal Central</t>
        </is>
      </c>
      <c r="D392" s="37" t="n">
        <v>65</v>
      </c>
      <c r="E392" s="37" t="inlineStr">
        <is>
          <t>Donas</t>
        </is>
      </c>
      <c r="F392" s="38" t="inlineStr">
        <is>
          <t>Dona Simple Glaseada</t>
        </is>
      </c>
      <c r="G392" s="37" t="n">
        <v>24</v>
      </c>
      <c r="H392" s="39" t="n"/>
      <c r="I392" s="39">
        <f>IF(H392&gt;0, H392*G392, "")</f>
        <v/>
      </c>
      <c r="J392" s="39" t="n"/>
      <c r="K392" s="39" t="n">
        <v>0</v>
      </c>
      <c r="L392" s="40">
        <f>IF(I392&gt;0, MAX(0, I392-J392-K392), 0)</f>
        <v/>
      </c>
      <c r="M392" s="41" t="n">
        <v>2.5</v>
      </c>
      <c r="N392" s="42">
        <f>L392*M392</f>
        <v/>
      </c>
    </row>
    <row r="393" ht="19" customHeight="1">
      <c r="A393" s="37" t="inlineStr">
        <is>
          <t>22/09/2026</t>
        </is>
      </c>
      <c r="B393" s="37" t="inlineStr">
        <is>
          <t>Martes</t>
        </is>
      </c>
      <c r="C393" s="37" t="inlineStr">
        <is>
          <t>Sucursal Central</t>
        </is>
      </c>
      <c r="D393" s="37" t="n">
        <v>66</v>
      </c>
      <c r="E393" s="37" t="inlineStr">
        <is>
          <t>Donas</t>
        </is>
      </c>
      <c r="F393" s="38" t="inlineStr">
        <is>
          <t>Dona Rellena de Manjar</t>
        </is>
      </c>
      <c r="G393" s="37" t="n">
        <v>24</v>
      </c>
      <c r="H393" s="39" t="n"/>
      <c r="I393" s="39">
        <f>IF(H393&gt;0, H393*G393, "")</f>
        <v/>
      </c>
      <c r="J393" s="39" t="n"/>
      <c r="K393" s="39" t="n">
        <v>0</v>
      </c>
      <c r="L393" s="40">
        <f>IF(I393&gt;0, MAX(0, I393-J393-K393), 0)</f>
        <v/>
      </c>
      <c r="M393" s="41" t="n">
        <v>4</v>
      </c>
      <c r="N393" s="42">
        <f>L393*M393</f>
        <v/>
      </c>
    </row>
    <row r="394" ht="19" customHeight="1">
      <c r="A394" s="37" t="inlineStr">
        <is>
          <t>22/09/2026</t>
        </is>
      </c>
      <c r="B394" s="37" t="inlineStr">
        <is>
          <t>Martes</t>
        </is>
      </c>
      <c r="C394" s="37" t="inlineStr">
        <is>
          <t>Sucursal Central</t>
        </is>
      </c>
      <c r="D394" s="37" t="n">
        <v>67</v>
      </c>
      <c r="E394" s="37" t="inlineStr">
        <is>
          <t>Donas</t>
        </is>
      </c>
      <c r="F394" s="38" t="inlineStr">
        <is>
          <t>Dona Rellena de Fresa</t>
        </is>
      </c>
      <c r="G394" s="37" t="n">
        <v>24</v>
      </c>
      <c r="H394" s="39" t="n"/>
      <c r="I394" s="39">
        <f>IF(H394&gt;0, H394*G394, "")</f>
        <v/>
      </c>
      <c r="J394" s="39" t="n"/>
      <c r="K394" s="39" t="n">
        <v>0</v>
      </c>
      <c r="L394" s="40">
        <f>IF(I394&gt;0, MAX(0, I394-J394-K394), 0)</f>
        <v/>
      </c>
      <c r="M394" s="41" t="n">
        <v>4</v>
      </c>
      <c r="N394" s="42">
        <f>L394*M394</f>
        <v/>
      </c>
    </row>
    <row r="395" ht="19" customHeight="1">
      <c r="A395" s="37" t="inlineStr">
        <is>
          <t>22/09/2026</t>
        </is>
      </c>
      <c r="B395" s="37" t="inlineStr">
        <is>
          <t>Martes</t>
        </is>
      </c>
      <c r="C395" s="37" t="inlineStr">
        <is>
          <t>Sucursal Central</t>
        </is>
      </c>
      <c r="D395" s="37" t="n">
        <v>68</v>
      </c>
      <c r="E395" s="37" t="inlineStr">
        <is>
          <t>Pan Dulce</t>
        </is>
      </c>
      <c r="F395" s="38" t="inlineStr">
        <is>
          <t>Campechana</t>
        </is>
      </c>
      <c r="G395" s="37" t="n">
        <v>20</v>
      </c>
      <c r="H395" s="39" t="n"/>
      <c r="I395" s="39">
        <f>IF(H395&gt;0, H395*G395, "")</f>
        <v/>
      </c>
      <c r="J395" s="39" t="n"/>
      <c r="K395" s="39" t="n">
        <v>0</v>
      </c>
      <c r="L395" s="40">
        <f>IF(I395&gt;0, MAX(0, I395-J395-K395), 0)</f>
        <v/>
      </c>
      <c r="M395" s="41" t="n">
        <v>1.25</v>
      </c>
      <c r="N395" s="42">
        <f>L395*M395</f>
        <v/>
      </c>
    </row>
    <row r="396" ht="19" customHeight="1">
      <c r="A396" s="37" t="inlineStr">
        <is>
          <t>22/09/2026</t>
        </is>
      </c>
      <c r="B396" s="37" t="inlineStr">
        <is>
          <t>Martes</t>
        </is>
      </c>
      <c r="C396" s="37" t="inlineStr">
        <is>
          <t>Sucursal Central</t>
        </is>
      </c>
      <c r="D396" s="37" t="n">
        <v>69</v>
      </c>
      <c r="E396" s="37" t="inlineStr">
        <is>
          <t>Pan Dulce</t>
        </is>
      </c>
      <c r="F396" s="38" t="inlineStr">
        <is>
          <t>Pasitas</t>
        </is>
      </c>
      <c r="G396" s="37" t="n">
        <v>30</v>
      </c>
      <c r="H396" s="39" t="n"/>
      <c r="I396" s="39">
        <f>IF(H396&gt;0, H396*G396, "")</f>
        <v/>
      </c>
      <c r="J396" s="39" t="n"/>
      <c r="K396" s="39" t="n">
        <v>0</v>
      </c>
      <c r="L396" s="40">
        <f>IF(I396&gt;0, MAX(0, I396-J396-K396), 0)</f>
        <v/>
      </c>
      <c r="M396" s="41" t="n">
        <v>0.75</v>
      </c>
      <c r="N396" s="42">
        <f>L396*M396</f>
        <v/>
      </c>
    </row>
    <row r="397" ht="19" customHeight="1">
      <c r="A397" s="37" t="inlineStr">
        <is>
          <t>22/09/2026</t>
        </is>
      </c>
      <c r="B397" s="37" t="inlineStr">
        <is>
          <t>Martes</t>
        </is>
      </c>
      <c r="C397" s="37" t="inlineStr">
        <is>
          <t>Sucursal Central</t>
        </is>
      </c>
      <c r="D397" s="37" t="n">
        <v>70</v>
      </c>
      <c r="E397" s="37" t="inlineStr">
        <is>
          <t>Reposteria</t>
        </is>
      </c>
      <c r="F397" s="38" t="inlineStr">
        <is>
          <t>Cortada de Fresa</t>
        </is>
      </c>
      <c r="G397" s="37" t="n">
        <v>14</v>
      </c>
      <c r="H397" s="39" t="n"/>
      <c r="I397" s="39">
        <f>IF(H397&gt;0, H397*G397, "")</f>
        <v/>
      </c>
      <c r="J397" s="39" t="n"/>
      <c r="K397" s="39" t="n">
        <v>0</v>
      </c>
      <c r="L397" s="40">
        <f>IF(I397&gt;0, MAX(0, I397-J397-K397), 0)</f>
        <v/>
      </c>
      <c r="M397" s="41" t="n">
        <v>2.5</v>
      </c>
      <c r="N397" s="42">
        <f>L397*M397</f>
        <v/>
      </c>
    </row>
    <row r="398" ht="19" customHeight="1">
      <c r="A398" s="37" t="inlineStr">
        <is>
          <t>22/09/2026</t>
        </is>
      </c>
      <c r="B398" s="37" t="inlineStr">
        <is>
          <t>Martes</t>
        </is>
      </c>
      <c r="C398" s="37" t="inlineStr">
        <is>
          <t>Sucursal Central</t>
        </is>
      </c>
      <c r="D398" s="37" t="n">
        <v>71</v>
      </c>
      <c r="E398" s="37" t="inlineStr">
        <is>
          <t>Reposteria</t>
        </is>
      </c>
      <c r="F398" s="38" t="inlineStr">
        <is>
          <t>Cortada de Chocolate</t>
        </is>
      </c>
      <c r="G398" s="37" t="n">
        <v>14</v>
      </c>
      <c r="H398" s="39" t="n"/>
      <c r="I398" s="39">
        <f>IF(H398&gt;0, H398*G398, "")</f>
        <v/>
      </c>
      <c r="J398" s="39" t="n"/>
      <c r="K398" s="39" t="n">
        <v>0</v>
      </c>
      <c r="L398" s="40">
        <f>IF(I398&gt;0, MAX(0, I398-J398-K398), 0)</f>
        <v/>
      </c>
      <c r="M398" s="41" t="n">
        <v>2.5</v>
      </c>
      <c r="N398" s="42">
        <f>L398*M398</f>
        <v/>
      </c>
    </row>
    <row r="399" ht="19" customHeight="1">
      <c r="A399" s="31" t="inlineStr">
        <is>
          <t>23/09/2026</t>
        </is>
      </c>
      <c r="B399" s="31" t="inlineStr">
        <is>
          <t>Miércoles</t>
        </is>
      </c>
      <c r="C399" s="31" t="inlineStr">
        <is>
          <t>Sucursal Central</t>
        </is>
      </c>
      <c r="D399" s="31" t="n">
        <v>54</v>
      </c>
      <c r="E399" s="31" t="inlineStr">
        <is>
          <t>Pan</t>
        </is>
      </c>
      <c r="F399" s="32" t="inlineStr">
        <is>
          <t>Pan Francés Tradicional</t>
        </is>
      </c>
      <c r="G399" s="31" t="n">
        <v>36</v>
      </c>
      <c r="H399" s="33" t="n"/>
      <c r="I399" s="33">
        <f>IF(H399&gt;0, H399*G399, "")</f>
        <v/>
      </c>
      <c r="J399" s="33" t="n"/>
      <c r="K399" s="33" t="n">
        <v>0</v>
      </c>
      <c r="L399" s="34">
        <f>IF(I399&gt;0, MAX(0, I399-J399-K399), 0)</f>
        <v/>
      </c>
      <c r="M399" s="35" t="n">
        <v>0.5</v>
      </c>
      <c r="N399" s="36">
        <f>L399*M399</f>
        <v/>
      </c>
    </row>
    <row r="400" ht="19" customHeight="1">
      <c r="A400" s="31" t="inlineStr">
        <is>
          <t>23/09/2026</t>
        </is>
      </c>
      <c r="B400" s="31" t="inlineStr">
        <is>
          <t>Miércoles</t>
        </is>
      </c>
      <c r="C400" s="31" t="inlineStr">
        <is>
          <t>Sucursal Central</t>
        </is>
      </c>
      <c r="D400" s="31" t="n">
        <v>55</v>
      </c>
      <c r="E400" s="31" t="inlineStr">
        <is>
          <t>Pan Dulce</t>
        </is>
      </c>
      <c r="F400" s="32" t="inlineStr">
        <is>
          <t>Pan Dulce Pequeño</t>
        </is>
      </c>
      <c r="G400" s="31" t="n">
        <v>40</v>
      </c>
      <c r="H400" s="33" t="n"/>
      <c r="I400" s="33">
        <f>IF(H400&gt;0, H400*G400, "")</f>
        <v/>
      </c>
      <c r="J400" s="33" t="n"/>
      <c r="K400" s="33" t="n">
        <v>0</v>
      </c>
      <c r="L400" s="34">
        <f>IF(I400&gt;0, MAX(0, I400-J400-K400), 0)</f>
        <v/>
      </c>
      <c r="M400" s="35" t="n">
        <v>0.5</v>
      </c>
      <c r="N400" s="36">
        <f>L400*M400</f>
        <v/>
      </c>
    </row>
    <row r="401" ht="19" customHeight="1">
      <c r="A401" s="31" t="inlineStr">
        <is>
          <t>23/09/2026</t>
        </is>
      </c>
      <c r="B401" s="31" t="inlineStr">
        <is>
          <t>Miércoles</t>
        </is>
      </c>
      <c r="C401" s="31" t="inlineStr">
        <is>
          <t>Sucursal Central</t>
        </is>
      </c>
      <c r="D401" s="31" t="n">
        <v>56</v>
      </c>
      <c r="E401" s="31" t="inlineStr">
        <is>
          <t>Pan Dulce</t>
        </is>
      </c>
      <c r="F401" s="32" t="inlineStr">
        <is>
          <t>Pan Dulce Grande</t>
        </is>
      </c>
      <c r="G401" s="31" t="n">
        <v>20</v>
      </c>
      <c r="H401" s="33" t="n"/>
      <c r="I401" s="33">
        <f>IF(H401&gt;0, H401*G401, "")</f>
        <v/>
      </c>
      <c r="J401" s="33" t="n"/>
      <c r="K401" s="33" t="n">
        <v>0</v>
      </c>
      <c r="L401" s="34">
        <f>IF(I401&gt;0, MAX(0, I401-J401-K401), 0)</f>
        <v/>
      </c>
      <c r="M401" s="35" t="n">
        <v>1.25</v>
      </c>
      <c r="N401" s="36">
        <f>L401*M401</f>
        <v/>
      </c>
    </row>
    <row r="402" ht="19" customHeight="1">
      <c r="A402" s="31" t="inlineStr">
        <is>
          <t>23/09/2026</t>
        </is>
      </c>
      <c r="B402" s="31" t="inlineStr">
        <is>
          <t>Miércoles</t>
        </is>
      </c>
      <c r="C402" s="31" t="inlineStr">
        <is>
          <t>Sucursal Central</t>
        </is>
      </c>
      <c r="D402" s="31" t="n">
        <v>57</v>
      </c>
      <c r="E402" s="31" t="inlineStr">
        <is>
          <t>Galletas</t>
        </is>
      </c>
      <c r="F402" s="32" t="inlineStr">
        <is>
          <t>Pan Galleta</t>
        </is>
      </c>
      <c r="G402" s="31" t="n">
        <v>20</v>
      </c>
      <c r="H402" s="33" t="n"/>
      <c r="I402" s="33">
        <f>IF(H402&gt;0, H402*G402, "")</f>
        <v/>
      </c>
      <c r="J402" s="33" t="n"/>
      <c r="K402" s="33" t="n">
        <v>0</v>
      </c>
      <c r="L402" s="34">
        <f>IF(I402&gt;0, MAX(0, I402-J402-K402), 0)</f>
        <v/>
      </c>
      <c r="M402" s="35" t="n">
        <v>1.25</v>
      </c>
      <c r="N402" s="36">
        <f>L402*M402</f>
        <v/>
      </c>
    </row>
    <row r="403" ht="19" customHeight="1">
      <c r="A403" s="31" t="inlineStr">
        <is>
          <t>23/09/2026</t>
        </is>
      </c>
      <c r="B403" s="31" t="inlineStr">
        <is>
          <t>Miércoles</t>
        </is>
      </c>
      <c r="C403" s="31" t="inlineStr">
        <is>
          <t>Sucursal Central</t>
        </is>
      </c>
      <c r="D403" s="31" t="n">
        <v>58</v>
      </c>
      <c r="E403" s="31" t="inlineStr">
        <is>
          <t>Galletas</t>
        </is>
      </c>
      <c r="F403" s="32" t="inlineStr">
        <is>
          <t>Champurrada Pequeña</t>
        </is>
      </c>
      <c r="G403" s="31" t="n">
        <v>24</v>
      </c>
      <c r="H403" s="33" t="n"/>
      <c r="I403" s="33">
        <f>IF(H403&gt;0, H403*G403, "")</f>
        <v/>
      </c>
      <c r="J403" s="33" t="n"/>
      <c r="K403" s="33" t="n">
        <v>0</v>
      </c>
      <c r="L403" s="34">
        <f>IF(I403&gt;0, MAX(0, I403-J403-K403), 0)</f>
        <v/>
      </c>
      <c r="M403" s="35" t="n">
        <v>0.5</v>
      </c>
      <c r="N403" s="36">
        <f>L403*M403</f>
        <v/>
      </c>
    </row>
    <row r="404" ht="19" customHeight="1">
      <c r="A404" s="31" t="inlineStr">
        <is>
          <t>23/09/2026</t>
        </is>
      </c>
      <c r="B404" s="31" t="inlineStr">
        <is>
          <t>Miércoles</t>
        </is>
      </c>
      <c r="C404" s="31" t="inlineStr">
        <is>
          <t>Sucursal Central</t>
        </is>
      </c>
      <c r="D404" s="31" t="n">
        <v>59</v>
      </c>
      <c r="E404" s="31" t="inlineStr">
        <is>
          <t>Galletas</t>
        </is>
      </c>
      <c r="F404" s="32" t="inlineStr">
        <is>
          <t>Champurrada Grande</t>
        </is>
      </c>
      <c r="G404" s="31" t="n">
        <v>15</v>
      </c>
      <c r="H404" s="33" t="n"/>
      <c r="I404" s="33">
        <f>IF(H404&gt;0, H404*G404, "")</f>
        <v/>
      </c>
      <c r="J404" s="33" t="n"/>
      <c r="K404" s="33" t="n">
        <v>0</v>
      </c>
      <c r="L404" s="34">
        <f>IF(I404&gt;0, MAX(0, I404-J404-K404), 0)</f>
        <v/>
      </c>
      <c r="M404" s="35" t="n">
        <v>1.25</v>
      </c>
      <c r="N404" s="36">
        <f>L404*M404</f>
        <v/>
      </c>
    </row>
    <row r="405" ht="19" customHeight="1">
      <c r="A405" s="31" t="inlineStr">
        <is>
          <t>23/09/2026</t>
        </is>
      </c>
      <c r="B405" s="31" t="inlineStr">
        <is>
          <t>Miércoles</t>
        </is>
      </c>
      <c r="C405" s="31" t="inlineStr">
        <is>
          <t>Sucursal Central</t>
        </is>
      </c>
      <c r="D405" s="31" t="n">
        <v>60</v>
      </c>
      <c r="E405" s="31" t="inlineStr">
        <is>
          <t>Reposteria</t>
        </is>
      </c>
      <c r="F405" s="32" t="inlineStr">
        <is>
          <t>Cubilete de Vainilla</t>
        </is>
      </c>
      <c r="G405" s="31" t="n">
        <v>30</v>
      </c>
      <c r="H405" s="33" t="n"/>
      <c r="I405" s="33">
        <f>IF(H405&gt;0, H405*G405, "")</f>
        <v/>
      </c>
      <c r="J405" s="33" t="n"/>
      <c r="K405" s="33" t="n">
        <v>0</v>
      </c>
      <c r="L405" s="34">
        <f>IF(I405&gt;0, MAX(0, I405-J405-K405), 0)</f>
        <v/>
      </c>
      <c r="M405" s="35" t="n">
        <v>2</v>
      </c>
      <c r="N405" s="36">
        <f>L405*M405</f>
        <v/>
      </c>
    </row>
    <row r="406" ht="19" customHeight="1">
      <c r="A406" s="31" t="inlineStr">
        <is>
          <t>23/09/2026</t>
        </is>
      </c>
      <c r="B406" s="31" t="inlineStr">
        <is>
          <t>Miércoles</t>
        </is>
      </c>
      <c r="C406" s="31" t="inlineStr">
        <is>
          <t>Sucursal Central</t>
        </is>
      </c>
      <c r="D406" s="31" t="n">
        <v>61</v>
      </c>
      <c r="E406" s="31" t="inlineStr">
        <is>
          <t>Reposteria</t>
        </is>
      </c>
      <c r="F406" s="32" t="inlineStr">
        <is>
          <t>Cubilete de Banano</t>
        </is>
      </c>
      <c r="G406" s="31" t="n">
        <v>30</v>
      </c>
      <c r="H406" s="33" t="n"/>
      <c r="I406" s="33">
        <f>IF(H406&gt;0, H406*G406, "")</f>
        <v/>
      </c>
      <c r="J406" s="33" t="n"/>
      <c r="K406" s="33" t="n">
        <v>0</v>
      </c>
      <c r="L406" s="34">
        <f>IF(I406&gt;0, MAX(0, I406-J406-K406), 0)</f>
        <v/>
      </c>
      <c r="M406" s="35" t="n">
        <v>2</v>
      </c>
      <c r="N406" s="36">
        <f>L406*M406</f>
        <v/>
      </c>
    </row>
    <row r="407" ht="19" customHeight="1">
      <c r="A407" s="31" t="inlineStr">
        <is>
          <t>23/09/2026</t>
        </is>
      </c>
      <c r="B407" s="31" t="inlineStr">
        <is>
          <t>Miércoles</t>
        </is>
      </c>
      <c r="C407" s="31" t="inlineStr">
        <is>
          <t>Sucursal Central</t>
        </is>
      </c>
      <c r="D407" s="31" t="n">
        <v>62</v>
      </c>
      <c r="E407" s="31" t="inlineStr">
        <is>
          <t>Reposteria</t>
        </is>
      </c>
      <c r="F407" s="32" t="inlineStr">
        <is>
          <t>Empanada de Piña</t>
        </is>
      </c>
      <c r="G407" s="31" t="n">
        <v>16</v>
      </c>
      <c r="H407" s="33" t="n"/>
      <c r="I407" s="33">
        <f>IF(H407&gt;0, H407*G407, "")</f>
        <v/>
      </c>
      <c r="J407" s="33" t="n"/>
      <c r="K407" s="33" t="n">
        <v>0</v>
      </c>
      <c r="L407" s="34">
        <f>IF(I407&gt;0, MAX(0, I407-J407-K407), 0)</f>
        <v/>
      </c>
      <c r="M407" s="35" t="n">
        <v>2.5</v>
      </c>
      <c r="N407" s="36">
        <f>L407*M407</f>
        <v/>
      </c>
    </row>
    <row r="408" ht="19" customHeight="1">
      <c r="A408" s="31" t="inlineStr">
        <is>
          <t>23/09/2026</t>
        </is>
      </c>
      <c r="B408" s="31" t="inlineStr">
        <is>
          <t>Miércoles</t>
        </is>
      </c>
      <c r="C408" s="31" t="inlineStr">
        <is>
          <t>Sucursal Central</t>
        </is>
      </c>
      <c r="D408" s="31" t="n">
        <v>63</v>
      </c>
      <c r="E408" s="31" t="inlineStr">
        <is>
          <t>Reposteria</t>
        </is>
      </c>
      <c r="F408" s="32" t="inlineStr">
        <is>
          <t>Empanada de Manjar</t>
        </is>
      </c>
      <c r="G408" s="31" t="n">
        <v>16</v>
      </c>
      <c r="H408" s="33" t="n"/>
      <c r="I408" s="33">
        <f>IF(H408&gt;0, H408*G408, "")</f>
        <v/>
      </c>
      <c r="J408" s="33" t="n"/>
      <c r="K408" s="33" t="n">
        <v>0</v>
      </c>
      <c r="L408" s="34">
        <f>IF(I408&gt;0, MAX(0, I408-J408-K408), 0)</f>
        <v/>
      </c>
      <c r="M408" s="35" t="n">
        <v>2.5</v>
      </c>
      <c r="N408" s="36">
        <f>L408*M408</f>
        <v/>
      </c>
    </row>
    <row r="409" ht="19" customHeight="1">
      <c r="A409" s="31" t="inlineStr">
        <is>
          <t>23/09/2026</t>
        </is>
      </c>
      <c r="B409" s="31" t="inlineStr">
        <is>
          <t>Miércoles</t>
        </is>
      </c>
      <c r="C409" s="31" t="inlineStr">
        <is>
          <t>Sucursal Central</t>
        </is>
      </c>
      <c r="D409" s="31" t="n">
        <v>64</v>
      </c>
      <c r="E409" s="31" t="inlineStr">
        <is>
          <t>Galletas</t>
        </is>
      </c>
      <c r="F409" s="32" t="inlineStr">
        <is>
          <t>Polvorosa Tradicional</t>
        </is>
      </c>
      <c r="G409" s="31" t="n">
        <v>15</v>
      </c>
      <c r="H409" s="33" t="n"/>
      <c r="I409" s="33">
        <f>IF(H409&gt;0, H409*G409, "")</f>
        <v/>
      </c>
      <c r="J409" s="33" t="n"/>
      <c r="K409" s="33" t="n">
        <v>0</v>
      </c>
      <c r="L409" s="34">
        <f>IF(I409&gt;0, MAX(0, I409-J409-K409), 0)</f>
        <v/>
      </c>
      <c r="M409" s="35" t="n">
        <v>1.25</v>
      </c>
      <c r="N409" s="36">
        <f>L409*M409</f>
        <v/>
      </c>
    </row>
    <row r="410" ht="19" customHeight="1">
      <c r="A410" s="31" t="inlineStr">
        <is>
          <t>23/09/2026</t>
        </is>
      </c>
      <c r="B410" s="31" t="inlineStr">
        <is>
          <t>Miércoles</t>
        </is>
      </c>
      <c r="C410" s="31" t="inlineStr">
        <is>
          <t>Sucursal Central</t>
        </is>
      </c>
      <c r="D410" s="31" t="n">
        <v>65</v>
      </c>
      <c r="E410" s="31" t="inlineStr">
        <is>
          <t>Donas</t>
        </is>
      </c>
      <c r="F410" s="32" t="inlineStr">
        <is>
          <t>Dona Simple Glaseada</t>
        </is>
      </c>
      <c r="G410" s="31" t="n">
        <v>24</v>
      </c>
      <c r="H410" s="33" t="n"/>
      <c r="I410" s="33">
        <f>IF(H410&gt;0, H410*G410, "")</f>
        <v/>
      </c>
      <c r="J410" s="33" t="n"/>
      <c r="K410" s="33" t="n">
        <v>0</v>
      </c>
      <c r="L410" s="34">
        <f>IF(I410&gt;0, MAX(0, I410-J410-K410), 0)</f>
        <v/>
      </c>
      <c r="M410" s="35" t="n">
        <v>2.5</v>
      </c>
      <c r="N410" s="36">
        <f>L410*M410</f>
        <v/>
      </c>
    </row>
    <row r="411" ht="19" customHeight="1">
      <c r="A411" s="31" t="inlineStr">
        <is>
          <t>23/09/2026</t>
        </is>
      </c>
      <c r="B411" s="31" t="inlineStr">
        <is>
          <t>Miércoles</t>
        </is>
      </c>
      <c r="C411" s="31" t="inlineStr">
        <is>
          <t>Sucursal Central</t>
        </is>
      </c>
      <c r="D411" s="31" t="n">
        <v>66</v>
      </c>
      <c r="E411" s="31" t="inlineStr">
        <is>
          <t>Donas</t>
        </is>
      </c>
      <c r="F411" s="32" t="inlineStr">
        <is>
          <t>Dona Rellena de Manjar</t>
        </is>
      </c>
      <c r="G411" s="31" t="n">
        <v>24</v>
      </c>
      <c r="H411" s="33" t="n"/>
      <c r="I411" s="33">
        <f>IF(H411&gt;0, H411*G411, "")</f>
        <v/>
      </c>
      <c r="J411" s="33" t="n"/>
      <c r="K411" s="33" t="n">
        <v>0</v>
      </c>
      <c r="L411" s="34">
        <f>IF(I411&gt;0, MAX(0, I411-J411-K411), 0)</f>
        <v/>
      </c>
      <c r="M411" s="35" t="n">
        <v>4</v>
      </c>
      <c r="N411" s="36">
        <f>L411*M411</f>
        <v/>
      </c>
    </row>
    <row r="412" ht="19" customHeight="1">
      <c r="A412" s="31" t="inlineStr">
        <is>
          <t>23/09/2026</t>
        </is>
      </c>
      <c r="B412" s="31" t="inlineStr">
        <is>
          <t>Miércoles</t>
        </is>
      </c>
      <c r="C412" s="31" t="inlineStr">
        <is>
          <t>Sucursal Central</t>
        </is>
      </c>
      <c r="D412" s="31" t="n">
        <v>67</v>
      </c>
      <c r="E412" s="31" t="inlineStr">
        <is>
          <t>Donas</t>
        </is>
      </c>
      <c r="F412" s="32" t="inlineStr">
        <is>
          <t>Dona Rellena de Fresa</t>
        </is>
      </c>
      <c r="G412" s="31" t="n">
        <v>24</v>
      </c>
      <c r="H412" s="33" t="n"/>
      <c r="I412" s="33">
        <f>IF(H412&gt;0, H412*G412, "")</f>
        <v/>
      </c>
      <c r="J412" s="33" t="n"/>
      <c r="K412" s="33" t="n">
        <v>0</v>
      </c>
      <c r="L412" s="34">
        <f>IF(I412&gt;0, MAX(0, I412-J412-K412), 0)</f>
        <v/>
      </c>
      <c r="M412" s="35" t="n">
        <v>4</v>
      </c>
      <c r="N412" s="36">
        <f>L412*M412</f>
        <v/>
      </c>
    </row>
    <row r="413" ht="19" customHeight="1">
      <c r="A413" s="31" t="inlineStr">
        <is>
          <t>23/09/2026</t>
        </is>
      </c>
      <c r="B413" s="31" t="inlineStr">
        <is>
          <t>Miércoles</t>
        </is>
      </c>
      <c r="C413" s="31" t="inlineStr">
        <is>
          <t>Sucursal Central</t>
        </is>
      </c>
      <c r="D413" s="31" t="n">
        <v>68</v>
      </c>
      <c r="E413" s="31" t="inlineStr">
        <is>
          <t>Pan Dulce</t>
        </is>
      </c>
      <c r="F413" s="32" t="inlineStr">
        <is>
          <t>Campechana</t>
        </is>
      </c>
      <c r="G413" s="31" t="n">
        <v>20</v>
      </c>
      <c r="H413" s="33" t="n"/>
      <c r="I413" s="33">
        <f>IF(H413&gt;0, H413*G413, "")</f>
        <v/>
      </c>
      <c r="J413" s="33" t="n"/>
      <c r="K413" s="33" t="n">
        <v>0</v>
      </c>
      <c r="L413" s="34">
        <f>IF(I413&gt;0, MAX(0, I413-J413-K413), 0)</f>
        <v/>
      </c>
      <c r="M413" s="35" t="n">
        <v>1.25</v>
      </c>
      <c r="N413" s="36">
        <f>L413*M413</f>
        <v/>
      </c>
    </row>
    <row r="414" ht="19" customHeight="1">
      <c r="A414" s="31" t="inlineStr">
        <is>
          <t>23/09/2026</t>
        </is>
      </c>
      <c r="B414" s="31" t="inlineStr">
        <is>
          <t>Miércoles</t>
        </is>
      </c>
      <c r="C414" s="31" t="inlineStr">
        <is>
          <t>Sucursal Central</t>
        </is>
      </c>
      <c r="D414" s="31" t="n">
        <v>69</v>
      </c>
      <c r="E414" s="31" t="inlineStr">
        <is>
          <t>Pan Dulce</t>
        </is>
      </c>
      <c r="F414" s="32" t="inlineStr">
        <is>
          <t>Pasitas</t>
        </is>
      </c>
      <c r="G414" s="31" t="n">
        <v>30</v>
      </c>
      <c r="H414" s="33" t="n"/>
      <c r="I414" s="33">
        <f>IF(H414&gt;0, H414*G414, "")</f>
        <v/>
      </c>
      <c r="J414" s="33" t="n"/>
      <c r="K414" s="33" t="n">
        <v>0</v>
      </c>
      <c r="L414" s="34">
        <f>IF(I414&gt;0, MAX(0, I414-J414-K414), 0)</f>
        <v/>
      </c>
      <c r="M414" s="35" t="n">
        <v>0.75</v>
      </c>
      <c r="N414" s="36">
        <f>L414*M414</f>
        <v/>
      </c>
    </row>
    <row r="415" ht="19" customHeight="1">
      <c r="A415" s="31" t="inlineStr">
        <is>
          <t>23/09/2026</t>
        </is>
      </c>
      <c r="B415" s="31" t="inlineStr">
        <is>
          <t>Miércoles</t>
        </is>
      </c>
      <c r="C415" s="31" t="inlineStr">
        <is>
          <t>Sucursal Central</t>
        </is>
      </c>
      <c r="D415" s="31" t="n">
        <v>70</v>
      </c>
      <c r="E415" s="31" t="inlineStr">
        <is>
          <t>Reposteria</t>
        </is>
      </c>
      <c r="F415" s="32" t="inlineStr">
        <is>
          <t>Cortada de Fresa</t>
        </is>
      </c>
      <c r="G415" s="31" t="n">
        <v>14</v>
      </c>
      <c r="H415" s="33" t="n"/>
      <c r="I415" s="33">
        <f>IF(H415&gt;0, H415*G415, "")</f>
        <v/>
      </c>
      <c r="J415" s="33" t="n"/>
      <c r="K415" s="33" t="n">
        <v>0</v>
      </c>
      <c r="L415" s="34">
        <f>IF(I415&gt;0, MAX(0, I415-J415-K415), 0)</f>
        <v/>
      </c>
      <c r="M415" s="35" t="n">
        <v>2.5</v>
      </c>
      <c r="N415" s="36">
        <f>L415*M415</f>
        <v/>
      </c>
    </row>
    <row r="416" ht="19" customHeight="1">
      <c r="A416" s="31" t="inlineStr">
        <is>
          <t>23/09/2026</t>
        </is>
      </c>
      <c r="B416" s="31" t="inlineStr">
        <is>
          <t>Miércoles</t>
        </is>
      </c>
      <c r="C416" s="31" t="inlineStr">
        <is>
          <t>Sucursal Central</t>
        </is>
      </c>
      <c r="D416" s="31" t="n">
        <v>71</v>
      </c>
      <c r="E416" s="31" t="inlineStr">
        <is>
          <t>Reposteria</t>
        </is>
      </c>
      <c r="F416" s="32" t="inlineStr">
        <is>
          <t>Cortada de Chocolate</t>
        </is>
      </c>
      <c r="G416" s="31" t="n">
        <v>14</v>
      </c>
      <c r="H416" s="33" t="n"/>
      <c r="I416" s="33">
        <f>IF(H416&gt;0, H416*G416, "")</f>
        <v/>
      </c>
      <c r="J416" s="33" t="n"/>
      <c r="K416" s="33" t="n">
        <v>0</v>
      </c>
      <c r="L416" s="34">
        <f>IF(I416&gt;0, MAX(0, I416-J416-K416), 0)</f>
        <v/>
      </c>
      <c r="M416" s="35" t="n">
        <v>2.5</v>
      </c>
      <c r="N416" s="36">
        <f>L416*M416</f>
        <v/>
      </c>
    </row>
    <row r="417" ht="19" customHeight="1">
      <c r="A417" s="37" t="inlineStr">
        <is>
          <t>24/09/2026</t>
        </is>
      </c>
      <c r="B417" s="37" t="inlineStr">
        <is>
          <t>Jueves</t>
        </is>
      </c>
      <c r="C417" s="37" t="inlineStr">
        <is>
          <t>Sucursal Central</t>
        </is>
      </c>
      <c r="D417" s="37" t="n">
        <v>54</v>
      </c>
      <c r="E417" s="37" t="inlineStr">
        <is>
          <t>Pan</t>
        </is>
      </c>
      <c r="F417" s="38" t="inlineStr">
        <is>
          <t>Pan Francés Tradicional</t>
        </is>
      </c>
      <c r="G417" s="37" t="n">
        <v>36</v>
      </c>
      <c r="H417" s="39" t="n"/>
      <c r="I417" s="39">
        <f>IF(H417&gt;0, H417*G417, "")</f>
        <v/>
      </c>
      <c r="J417" s="39" t="n"/>
      <c r="K417" s="39" t="n">
        <v>0</v>
      </c>
      <c r="L417" s="40">
        <f>IF(I417&gt;0, MAX(0, I417-J417-K417), 0)</f>
        <v/>
      </c>
      <c r="M417" s="41" t="n">
        <v>0.5</v>
      </c>
      <c r="N417" s="42">
        <f>L417*M417</f>
        <v/>
      </c>
    </row>
    <row r="418" ht="19" customHeight="1">
      <c r="A418" s="37" t="inlineStr">
        <is>
          <t>24/09/2026</t>
        </is>
      </c>
      <c r="B418" s="37" t="inlineStr">
        <is>
          <t>Jueves</t>
        </is>
      </c>
      <c r="C418" s="37" t="inlineStr">
        <is>
          <t>Sucursal Central</t>
        </is>
      </c>
      <c r="D418" s="37" t="n">
        <v>55</v>
      </c>
      <c r="E418" s="37" t="inlineStr">
        <is>
          <t>Pan Dulce</t>
        </is>
      </c>
      <c r="F418" s="38" t="inlineStr">
        <is>
          <t>Pan Dulce Pequeño</t>
        </is>
      </c>
      <c r="G418" s="37" t="n">
        <v>40</v>
      </c>
      <c r="H418" s="39" t="n"/>
      <c r="I418" s="39">
        <f>IF(H418&gt;0, H418*G418, "")</f>
        <v/>
      </c>
      <c r="J418" s="39" t="n"/>
      <c r="K418" s="39" t="n">
        <v>0</v>
      </c>
      <c r="L418" s="40">
        <f>IF(I418&gt;0, MAX(0, I418-J418-K418), 0)</f>
        <v/>
      </c>
      <c r="M418" s="41" t="n">
        <v>0.5</v>
      </c>
      <c r="N418" s="42">
        <f>L418*M418</f>
        <v/>
      </c>
    </row>
    <row r="419" ht="19" customHeight="1">
      <c r="A419" s="37" t="inlineStr">
        <is>
          <t>24/09/2026</t>
        </is>
      </c>
      <c r="B419" s="37" t="inlineStr">
        <is>
          <t>Jueves</t>
        </is>
      </c>
      <c r="C419" s="37" t="inlineStr">
        <is>
          <t>Sucursal Central</t>
        </is>
      </c>
      <c r="D419" s="37" t="n">
        <v>56</v>
      </c>
      <c r="E419" s="37" t="inlineStr">
        <is>
          <t>Pan Dulce</t>
        </is>
      </c>
      <c r="F419" s="38" t="inlineStr">
        <is>
          <t>Pan Dulce Grande</t>
        </is>
      </c>
      <c r="G419" s="37" t="n">
        <v>20</v>
      </c>
      <c r="H419" s="39" t="n"/>
      <c r="I419" s="39">
        <f>IF(H419&gt;0, H419*G419, "")</f>
        <v/>
      </c>
      <c r="J419" s="39" t="n"/>
      <c r="K419" s="39" t="n">
        <v>0</v>
      </c>
      <c r="L419" s="40">
        <f>IF(I419&gt;0, MAX(0, I419-J419-K419), 0)</f>
        <v/>
      </c>
      <c r="M419" s="41" t="n">
        <v>1.25</v>
      </c>
      <c r="N419" s="42">
        <f>L419*M419</f>
        <v/>
      </c>
    </row>
    <row r="420" ht="19" customHeight="1">
      <c r="A420" s="37" t="inlineStr">
        <is>
          <t>24/09/2026</t>
        </is>
      </c>
      <c r="B420" s="37" t="inlineStr">
        <is>
          <t>Jueves</t>
        </is>
      </c>
      <c r="C420" s="37" t="inlineStr">
        <is>
          <t>Sucursal Central</t>
        </is>
      </c>
      <c r="D420" s="37" t="n">
        <v>57</v>
      </c>
      <c r="E420" s="37" t="inlineStr">
        <is>
          <t>Galletas</t>
        </is>
      </c>
      <c r="F420" s="38" t="inlineStr">
        <is>
          <t>Pan Galleta</t>
        </is>
      </c>
      <c r="G420" s="37" t="n">
        <v>20</v>
      </c>
      <c r="H420" s="39" t="n"/>
      <c r="I420" s="39">
        <f>IF(H420&gt;0, H420*G420, "")</f>
        <v/>
      </c>
      <c r="J420" s="39" t="n"/>
      <c r="K420" s="39" t="n">
        <v>0</v>
      </c>
      <c r="L420" s="40">
        <f>IF(I420&gt;0, MAX(0, I420-J420-K420), 0)</f>
        <v/>
      </c>
      <c r="M420" s="41" t="n">
        <v>1.25</v>
      </c>
      <c r="N420" s="42">
        <f>L420*M420</f>
        <v/>
      </c>
    </row>
    <row r="421" ht="19" customHeight="1">
      <c r="A421" s="37" t="inlineStr">
        <is>
          <t>24/09/2026</t>
        </is>
      </c>
      <c r="B421" s="37" t="inlineStr">
        <is>
          <t>Jueves</t>
        </is>
      </c>
      <c r="C421" s="37" t="inlineStr">
        <is>
          <t>Sucursal Central</t>
        </is>
      </c>
      <c r="D421" s="37" t="n">
        <v>58</v>
      </c>
      <c r="E421" s="37" t="inlineStr">
        <is>
          <t>Galletas</t>
        </is>
      </c>
      <c r="F421" s="38" t="inlineStr">
        <is>
          <t>Champurrada Pequeña</t>
        </is>
      </c>
      <c r="G421" s="37" t="n">
        <v>24</v>
      </c>
      <c r="H421" s="39" t="n"/>
      <c r="I421" s="39">
        <f>IF(H421&gt;0, H421*G421, "")</f>
        <v/>
      </c>
      <c r="J421" s="39" t="n"/>
      <c r="K421" s="39" t="n">
        <v>0</v>
      </c>
      <c r="L421" s="40">
        <f>IF(I421&gt;0, MAX(0, I421-J421-K421), 0)</f>
        <v/>
      </c>
      <c r="M421" s="41" t="n">
        <v>0.5</v>
      </c>
      <c r="N421" s="42">
        <f>L421*M421</f>
        <v/>
      </c>
    </row>
    <row r="422" ht="19" customHeight="1">
      <c r="A422" s="37" t="inlineStr">
        <is>
          <t>24/09/2026</t>
        </is>
      </c>
      <c r="B422" s="37" t="inlineStr">
        <is>
          <t>Jueves</t>
        </is>
      </c>
      <c r="C422" s="37" t="inlineStr">
        <is>
          <t>Sucursal Central</t>
        </is>
      </c>
      <c r="D422" s="37" t="n">
        <v>59</v>
      </c>
      <c r="E422" s="37" t="inlineStr">
        <is>
          <t>Galletas</t>
        </is>
      </c>
      <c r="F422" s="38" t="inlineStr">
        <is>
          <t>Champurrada Grande</t>
        </is>
      </c>
      <c r="G422" s="37" t="n">
        <v>15</v>
      </c>
      <c r="H422" s="39" t="n"/>
      <c r="I422" s="39">
        <f>IF(H422&gt;0, H422*G422, "")</f>
        <v/>
      </c>
      <c r="J422" s="39" t="n"/>
      <c r="K422" s="39" t="n">
        <v>0</v>
      </c>
      <c r="L422" s="40">
        <f>IF(I422&gt;0, MAX(0, I422-J422-K422), 0)</f>
        <v/>
      </c>
      <c r="M422" s="41" t="n">
        <v>1.25</v>
      </c>
      <c r="N422" s="42">
        <f>L422*M422</f>
        <v/>
      </c>
    </row>
    <row r="423" ht="19" customHeight="1">
      <c r="A423" s="37" t="inlineStr">
        <is>
          <t>24/09/2026</t>
        </is>
      </c>
      <c r="B423" s="37" t="inlineStr">
        <is>
          <t>Jueves</t>
        </is>
      </c>
      <c r="C423" s="37" t="inlineStr">
        <is>
          <t>Sucursal Central</t>
        </is>
      </c>
      <c r="D423" s="37" t="n">
        <v>60</v>
      </c>
      <c r="E423" s="37" t="inlineStr">
        <is>
          <t>Reposteria</t>
        </is>
      </c>
      <c r="F423" s="38" t="inlineStr">
        <is>
          <t>Cubilete de Vainilla</t>
        </is>
      </c>
      <c r="G423" s="37" t="n">
        <v>30</v>
      </c>
      <c r="H423" s="39" t="n"/>
      <c r="I423" s="39">
        <f>IF(H423&gt;0, H423*G423, "")</f>
        <v/>
      </c>
      <c r="J423" s="39" t="n"/>
      <c r="K423" s="39" t="n">
        <v>0</v>
      </c>
      <c r="L423" s="40">
        <f>IF(I423&gt;0, MAX(0, I423-J423-K423), 0)</f>
        <v/>
      </c>
      <c r="M423" s="41" t="n">
        <v>2</v>
      </c>
      <c r="N423" s="42">
        <f>L423*M423</f>
        <v/>
      </c>
    </row>
    <row r="424" ht="19" customHeight="1">
      <c r="A424" s="37" t="inlineStr">
        <is>
          <t>24/09/2026</t>
        </is>
      </c>
      <c r="B424" s="37" t="inlineStr">
        <is>
          <t>Jueves</t>
        </is>
      </c>
      <c r="C424" s="37" t="inlineStr">
        <is>
          <t>Sucursal Central</t>
        </is>
      </c>
      <c r="D424" s="37" t="n">
        <v>61</v>
      </c>
      <c r="E424" s="37" t="inlineStr">
        <is>
          <t>Reposteria</t>
        </is>
      </c>
      <c r="F424" s="38" t="inlineStr">
        <is>
          <t>Cubilete de Banano</t>
        </is>
      </c>
      <c r="G424" s="37" t="n">
        <v>30</v>
      </c>
      <c r="H424" s="39" t="n"/>
      <c r="I424" s="39">
        <f>IF(H424&gt;0, H424*G424, "")</f>
        <v/>
      </c>
      <c r="J424" s="39" t="n"/>
      <c r="K424" s="39" t="n">
        <v>0</v>
      </c>
      <c r="L424" s="40">
        <f>IF(I424&gt;0, MAX(0, I424-J424-K424), 0)</f>
        <v/>
      </c>
      <c r="M424" s="41" t="n">
        <v>2</v>
      </c>
      <c r="N424" s="42">
        <f>L424*M424</f>
        <v/>
      </c>
    </row>
    <row r="425" ht="19" customHeight="1">
      <c r="A425" s="37" t="inlineStr">
        <is>
          <t>24/09/2026</t>
        </is>
      </c>
      <c r="B425" s="37" t="inlineStr">
        <is>
          <t>Jueves</t>
        </is>
      </c>
      <c r="C425" s="37" t="inlineStr">
        <is>
          <t>Sucursal Central</t>
        </is>
      </c>
      <c r="D425" s="37" t="n">
        <v>62</v>
      </c>
      <c r="E425" s="37" t="inlineStr">
        <is>
          <t>Reposteria</t>
        </is>
      </c>
      <c r="F425" s="38" t="inlineStr">
        <is>
          <t>Empanada de Piña</t>
        </is>
      </c>
      <c r="G425" s="37" t="n">
        <v>16</v>
      </c>
      <c r="H425" s="39" t="n"/>
      <c r="I425" s="39">
        <f>IF(H425&gt;0, H425*G425, "")</f>
        <v/>
      </c>
      <c r="J425" s="39" t="n"/>
      <c r="K425" s="39" t="n">
        <v>0</v>
      </c>
      <c r="L425" s="40">
        <f>IF(I425&gt;0, MAX(0, I425-J425-K425), 0)</f>
        <v/>
      </c>
      <c r="M425" s="41" t="n">
        <v>2.5</v>
      </c>
      <c r="N425" s="42">
        <f>L425*M425</f>
        <v/>
      </c>
    </row>
    <row r="426" ht="19" customHeight="1">
      <c r="A426" s="37" t="inlineStr">
        <is>
          <t>24/09/2026</t>
        </is>
      </c>
      <c r="B426" s="37" t="inlineStr">
        <is>
          <t>Jueves</t>
        </is>
      </c>
      <c r="C426" s="37" t="inlineStr">
        <is>
          <t>Sucursal Central</t>
        </is>
      </c>
      <c r="D426" s="37" t="n">
        <v>63</v>
      </c>
      <c r="E426" s="37" t="inlineStr">
        <is>
          <t>Reposteria</t>
        </is>
      </c>
      <c r="F426" s="38" t="inlineStr">
        <is>
          <t>Empanada de Manjar</t>
        </is>
      </c>
      <c r="G426" s="37" t="n">
        <v>16</v>
      </c>
      <c r="H426" s="39" t="n"/>
      <c r="I426" s="39">
        <f>IF(H426&gt;0, H426*G426, "")</f>
        <v/>
      </c>
      <c r="J426" s="39" t="n"/>
      <c r="K426" s="39" t="n">
        <v>0</v>
      </c>
      <c r="L426" s="40">
        <f>IF(I426&gt;0, MAX(0, I426-J426-K426), 0)</f>
        <v/>
      </c>
      <c r="M426" s="41" t="n">
        <v>2.5</v>
      </c>
      <c r="N426" s="42">
        <f>L426*M426</f>
        <v/>
      </c>
    </row>
    <row r="427" ht="19" customHeight="1">
      <c r="A427" s="37" t="inlineStr">
        <is>
          <t>24/09/2026</t>
        </is>
      </c>
      <c r="B427" s="37" t="inlineStr">
        <is>
          <t>Jueves</t>
        </is>
      </c>
      <c r="C427" s="37" t="inlineStr">
        <is>
          <t>Sucursal Central</t>
        </is>
      </c>
      <c r="D427" s="37" t="n">
        <v>64</v>
      </c>
      <c r="E427" s="37" t="inlineStr">
        <is>
          <t>Galletas</t>
        </is>
      </c>
      <c r="F427" s="38" t="inlineStr">
        <is>
          <t>Polvorosa Tradicional</t>
        </is>
      </c>
      <c r="G427" s="37" t="n">
        <v>15</v>
      </c>
      <c r="H427" s="39" t="n"/>
      <c r="I427" s="39">
        <f>IF(H427&gt;0, H427*G427, "")</f>
        <v/>
      </c>
      <c r="J427" s="39" t="n"/>
      <c r="K427" s="39" t="n">
        <v>0</v>
      </c>
      <c r="L427" s="40">
        <f>IF(I427&gt;0, MAX(0, I427-J427-K427), 0)</f>
        <v/>
      </c>
      <c r="M427" s="41" t="n">
        <v>1.25</v>
      </c>
      <c r="N427" s="42">
        <f>L427*M427</f>
        <v/>
      </c>
    </row>
    <row r="428" ht="19" customHeight="1">
      <c r="A428" s="37" t="inlineStr">
        <is>
          <t>24/09/2026</t>
        </is>
      </c>
      <c r="B428" s="37" t="inlineStr">
        <is>
          <t>Jueves</t>
        </is>
      </c>
      <c r="C428" s="37" t="inlineStr">
        <is>
          <t>Sucursal Central</t>
        </is>
      </c>
      <c r="D428" s="37" t="n">
        <v>65</v>
      </c>
      <c r="E428" s="37" t="inlineStr">
        <is>
          <t>Donas</t>
        </is>
      </c>
      <c r="F428" s="38" t="inlineStr">
        <is>
          <t>Dona Simple Glaseada</t>
        </is>
      </c>
      <c r="G428" s="37" t="n">
        <v>24</v>
      </c>
      <c r="H428" s="39" t="n"/>
      <c r="I428" s="39">
        <f>IF(H428&gt;0, H428*G428, "")</f>
        <v/>
      </c>
      <c r="J428" s="39" t="n"/>
      <c r="K428" s="39" t="n">
        <v>0</v>
      </c>
      <c r="L428" s="40">
        <f>IF(I428&gt;0, MAX(0, I428-J428-K428), 0)</f>
        <v/>
      </c>
      <c r="M428" s="41" t="n">
        <v>2.5</v>
      </c>
      <c r="N428" s="42">
        <f>L428*M428</f>
        <v/>
      </c>
    </row>
    <row r="429" ht="19" customHeight="1">
      <c r="A429" s="37" t="inlineStr">
        <is>
          <t>24/09/2026</t>
        </is>
      </c>
      <c r="B429" s="37" t="inlineStr">
        <is>
          <t>Jueves</t>
        </is>
      </c>
      <c r="C429" s="37" t="inlineStr">
        <is>
          <t>Sucursal Central</t>
        </is>
      </c>
      <c r="D429" s="37" t="n">
        <v>66</v>
      </c>
      <c r="E429" s="37" t="inlineStr">
        <is>
          <t>Donas</t>
        </is>
      </c>
      <c r="F429" s="38" t="inlineStr">
        <is>
          <t>Dona Rellena de Manjar</t>
        </is>
      </c>
      <c r="G429" s="37" t="n">
        <v>24</v>
      </c>
      <c r="H429" s="39" t="n"/>
      <c r="I429" s="39">
        <f>IF(H429&gt;0, H429*G429, "")</f>
        <v/>
      </c>
      <c r="J429" s="39" t="n"/>
      <c r="K429" s="39" t="n">
        <v>0</v>
      </c>
      <c r="L429" s="40">
        <f>IF(I429&gt;0, MAX(0, I429-J429-K429), 0)</f>
        <v/>
      </c>
      <c r="M429" s="41" t="n">
        <v>4</v>
      </c>
      <c r="N429" s="42">
        <f>L429*M429</f>
        <v/>
      </c>
    </row>
    <row r="430" ht="19" customHeight="1">
      <c r="A430" s="37" t="inlineStr">
        <is>
          <t>24/09/2026</t>
        </is>
      </c>
      <c r="B430" s="37" t="inlineStr">
        <is>
          <t>Jueves</t>
        </is>
      </c>
      <c r="C430" s="37" t="inlineStr">
        <is>
          <t>Sucursal Central</t>
        </is>
      </c>
      <c r="D430" s="37" t="n">
        <v>67</v>
      </c>
      <c r="E430" s="37" t="inlineStr">
        <is>
          <t>Donas</t>
        </is>
      </c>
      <c r="F430" s="38" t="inlineStr">
        <is>
          <t>Dona Rellena de Fresa</t>
        </is>
      </c>
      <c r="G430" s="37" t="n">
        <v>24</v>
      </c>
      <c r="H430" s="39" t="n"/>
      <c r="I430" s="39">
        <f>IF(H430&gt;0, H430*G430, "")</f>
        <v/>
      </c>
      <c r="J430" s="39" t="n"/>
      <c r="K430" s="39" t="n">
        <v>0</v>
      </c>
      <c r="L430" s="40">
        <f>IF(I430&gt;0, MAX(0, I430-J430-K430), 0)</f>
        <v/>
      </c>
      <c r="M430" s="41" t="n">
        <v>4</v>
      </c>
      <c r="N430" s="42">
        <f>L430*M430</f>
        <v/>
      </c>
    </row>
    <row r="431" ht="19" customHeight="1">
      <c r="A431" s="37" t="inlineStr">
        <is>
          <t>24/09/2026</t>
        </is>
      </c>
      <c r="B431" s="37" t="inlineStr">
        <is>
          <t>Jueves</t>
        </is>
      </c>
      <c r="C431" s="37" t="inlineStr">
        <is>
          <t>Sucursal Central</t>
        </is>
      </c>
      <c r="D431" s="37" t="n">
        <v>68</v>
      </c>
      <c r="E431" s="37" t="inlineStr">
        <is>
          <t>Pan Dulce</t>
        </is>
      </c>
      <c r="F431" s="38" t="inlineStr">
        <is>
          <t>Campechana</t>
        </is>
      </c>
      <c r="G431" s="37" t="n">
        <v>20</v>
      </c>
      <c r="H431" s="39" t="n"/>
      <c r="I431" s="39">
        <f>IF(H431&gt;0, H431*G431, "")</f>
        <v/>
      </c>
      <c r="J431" s="39" t="n"/>
      <c r="K431" s="39" t="n">
        <v>0</v>
      </c>
      <c r="L431" s="40">
        <f>IF(I431&gt;0, MAX(0, I431-J431-K431), 0)</f>
        <v/>
      </c>
      <c r="M431" s="41" t="n">
        <v>1.25</v>
      </c>
      <c r="N431" s="42">
        <f>L431*M431</f>
        <v/>
      </c>
    </row>
    <row r="432" ht="19" customHeight="1">
      <c r="A432" s="37" t="inlineStr">
        <is>
          <t>24/09/2026</t>
        </is>
      </c>
      <c r="B432" s="37" t="inlineStr">
        <is>
          <t>Jueves</t>
        </is>
      </c>
      <c r="C432" s="37" t="inlineStr">
        <is>
          <t>Sucursal Central</t>
        </is>
      </c>
      <c r="D432" s="37" t="n">
        <v>69</v>
      </c>
      <c r="E432" s="37" t="inlineStr">
        <is>
          <t>Pan Dulce</t>
        </is>
      </c>
      <c r="F432" s="38" t="inlineStr">
        <is>
          <t>Pasitas</t>
        </is>
      </c>
      <c r="G432" s="37" t="n">
        <v>30</v>
      </c>
      <c r="H432" s="39" t="n"/>
      <c r="I432" s="39">
        <f>IF(H432&gt;0, H432*G432, "")</f>
        <v/>
      </c>
      <c r="J432" s="39" t="n"/>
      <c r="K432" s="39" t="n">
        <v>0</v>
      </c>
      <c r="L432" s="40">
        <f>IF(I432&gt;0, MAX(0, I432-J432-K432), 0)</f>
        <v/>
      </c>
      <c r="M432" s="41" t="n">
        <v>0.75</v>
      </c>
      <c r="N432" s="42">
        <f>L432*M432</f>
        <v/>
      </c>
    </row>
    <row r="433" ht="19" customHeight="1">
      <c r="A433" s="37" t="inlineStr">
        <is>
          <t>24/09/2026</t>
        </is>
      </c>
      <c r="B433" s="37" t="inlineStr">
        <is>
          <t>Jueves</t>
        </is>
      </c>
      <c r="C433" s="37" t="inlineStr">
        <is>
          <t>Sucursal Central</t>
        </is>
      </c>
      <c r="D433" s="37" t="n">
        <v>70</v>
      </c>
      <c r="E433" s="37" t="inlineStr">
        <is>
          <t>Reposteria</t>
        </is>
      </c>
      <c r="F433" s="38" t="inlineStr">
        <is>
          <t>Cortada de Fresa</t>
        </is>
      </c>
      <c r="G433" s="37" t="n">
        <v>14</v>
      </c>
      <c r="H433" s="39" t="n"/>
      <c r="I433" s="39">
        <f>IF(H433&gt;0, H433*G433, "")</f>
        <v/>
      </c>
      <c r="J433" s="39" t="n"/>
      <c r="K433" s="39" t="n">
        <v>0</v>
      </c>
      <c r="L433" s="40">
        <f>IF(I433&gt;0, MAX(0, I433-J433-K433), 0)</f>
        <v/>
      </c>
      <c r="M433" s="41" t="n">
        <v>2.5</v>
      </c>
      <c r="N433" s="42">
        <f>L433*M433</f>
        <v/>
      </c>
    </row>
    <row r="434" ht="19" customHeight="1">
      <c r="A434" s="37" t="inlineStr">
        <is>
          <t>24/09/2026</t>
        </is>
      </c>
      <c r="B434" s="37" t="inlineStr">
        <is>
          <t>Jueves</t>
        </is>
      </c>
      <c r="C434" s="37" t="inlineStr">
        <is>
          <t>Sucursal Central</t>
        </is>
      </c>
      <c r="D434" s="37" t="n">
        <v>71</v>
      </c>
      <c r="E434" s="37" t="inlineStr">
        <is>
          <t>Reposteria</t>
        </is>
      </c>
      <c r="F434" s="38" t="inlineStr">
        <is>
          <t>Cortada de Chocolate</t>
        </is>
      </c>
      <c r="G434" s="37" t="n">
        <v>14</v>
      </c>
      <c r="H434" s="39" t="n"/>
      <c r="I434" s="39">
        <f>IF(H434&gt;0, H434*G434, "")</f>
        <v/>
      </c>
      <c r="J434" s="39" t="n"/>
      <c r="K434" s="39" t="n">
        <v>0</v>
      </c>
      <c r="L434" s="40">
        <f>IF(I434&gt;0, MAX(0, I434-J434-K434), 0)</f>
        <v/>
      </c>
      <c r="M434" s="41" t="n">
        <v>2.5</v>
      </c>
      <c r="N434" s="42">
        <f>L434*M434</f>
        <v/>
      </c>
    </row>
    <row r="435" ht="19" customHeight="1">
      <c r="A435" s="31" t="inlineStr">
        <is>
          <t>25/09/2026</t>
        </is>
      </c>
      <c r="B435" s="31" t="inlineStr">
        <is>
          <t>Viernes</t>
        </is>
      </c>
      <c r="C435" s="31" t="inlineStr">
        <is>
          <t>Sucursal Central</t>
        </is>
      </c>
      <c r="D435" s="31" t="n">
        <v>54</v>
      </c>
      <c r="E435" s="31" t="inlineStr">
        <is>
          <t>Pan</t>
        </is>
      </c>
      <c r="F435" s="32" t="inlineStr">
        <is>
          <t>Pan Francés Tradicional</t>
        </is>
      </c>
      <c r="G435" s="31" t="n">
        <v>36</v>
      </c>
      <c r="H435" s="33" t="n"/>
      <c r="I435" s="33">
        <f>IF(H435&gt;0, H435*G435, "")</f>
        <v/>
      </c>
      <c r="J435" s="33" t="n"/>
      <c r="K435" s="33" t="n">
        <v>0</v>
      </c>
      <c r="L435" s="34">
        <f>IF(I435&gt;0, MAX(0, I435-J435-K435), 0)</f>
        <v/>
      </c>
      <c r="M435" s="35" t="n">
        <v>0.5</v>
      </c>
      <c r="N435" s="36">
        <f>L435*M435</f>
        <v/>
      </c>
    </row>
    <row r="436" ht="19" customHeight="1">
      <c r="A436" s="31" t="inlineStr">
        <is>
          <t>25/09/2026</t>
        </is>
      </c>
      <c r="B436" s="31" t="inlineStr">
        <is>
          <t>Viernes</t>
        </is>
      </c>
      <c r="C436" s="31" t="inlineStr">
        <is>
          <t>Sucursal Central</t>
        </is>
      </c>
      <c r="D436" s="31" t="n">
        <v>55</v>
      </c>
      <c r="E436" s="31" t="inlineStr">
        <is>
          <t>Pan Dulce</t>
        </is>
      </c>
      <c r="F436" s="32" t="inlineStr">
        <is>
          <t>Pan Dulce Pequeño</t>
        </is>
      </c>
      <c r="G436" s="31" t="n">
        <v>40</v>
      </c>
      <c r="H436" s="33" t="n"/>
      <c r="I436" s="33">
        <f>IF(H436&gt;0, H436*G436, "")</f>
        <v/>
      </c>
      <c r="J436" s="33" t="n"/>
      <c r="K436" s="33" t="n">
        <v>0</v>
      </c>
      <c r="L436" s="34">
        <f>IF(I436&gt;0, MAX(0, I436-J436-K436), 0)</f>
        <v/>
      </c>
      <c r="M436" s="35" t="n">
        <v>0.5</v>
      </c>
      <c r="N436" s="36">
        <f>L436*M436</f>
        <v/>
      </c>
    </row>
    <row r="437" ht="19" customHeight="1">
      <c r="A437" s="31" t="inlineStr">
        <is>
          <t>25/09/2026</t>
        </is>
      </c>
      <c r="B437" s="31" t="inlineStr">
        <is>
          <t>Viernes</t>
        </is>
      </c>
      <c r="C437" s="31" t="inlineStr">
        <is>
          <t>Sucursal Central</t>
        </is>
      </c>
      <c r="D437" s="31" t="n">
        <v>56</v>
      </c>
      <c r="E437" s="31" t="inlineStr">
        <is>
          <t>Pan Dulce</t>
        </is>
      </c>
      <c r="F437" s="32" t="inlineStr">
        <is>
          <t>Pan Dulce Grande</t>
        </is>
      </c>
      <c r="G437" s="31" t="n">
        <v>20</v>
      </c>
      <c r="H437" s="33" t="n"/>
      <c r="I437" s="33">
        <f>IF(H437&gt;0, H437*G437, "")</f>
        <v/>
      </c>
      <c r="J437" s="33" t="n"/>
      <c r="K437" s="33" t="n">
        <v>0</v>
      </c>
      <c r="L437" s="34">
        <f>IF(I437&gt;0, MAX(0, I437-J437-K437), 0)</f>
        <v/>
      </c>
      <c r="M437" s="35" t="n">
        <v>1.25</v>
      </c>
      <c r="N437" s="36">
        <f>L437*M437</f>
        <v/>
      </c>
    </row>
    <row r="438" ht="19" customHeight="1">
      <c r="A438" s="31" t="inlineStr">
        <is>
          <t>25/09/2026</t>
        </is>
      </c>
      <c r="B438" s="31" t="inlineStr">
        <is>
          <t>Viernes</t>
        </is>
      </c>
      <c r="C438" s="31" t="inlineStr">
        <is>
          <t>Sucursal Central</t>
        </is>
      </c>
      <c r="D438" s="31" t="n">
        <v>57</v>
      </c>
      <c r="E438" s="31" t="inlineStr">
        <is>
          <t>Galletas</t>
        </is>
      </c>
      <c r="F438" s="32" t="inlineStr">
        <is>
          <t>Pan Galleta</t>
        </is>
      </c>
      <c r="G438" s="31" t="n">
        <v>20</v>
      </c>
      <c r="H438" s="33" t="n"/>
      <c r="I438" s="33">
        <f>IF(H438&gt;0, H438*G438, "")</f>
        <v/>
      </c>
      <c r="J438" s="33" t="n"/>
      <c r="K438" s="33" t="n">
        <v>0</v>
      </c>
      <c r="L438" s="34">
        <f>IF(I438&gt;0, MAX(0, I438-J438-K438), 0)</f>
        <v/>
      </c>
      <c r="M438" s="35" t="n">
        <v>1.25</v>
      </c>
      <c r="N438" s="36">
        <f>L438*M438</f>
        <v/>
      </c>
    </row>
    <row r="439" ht="19" customHeight="1">
      <c r="A439" s="31" t="inlineStr">
        <is>
          <t>25/09/2026</t>
        </is>
      </c>
      <c r="B439" s="31" t="inlineStr">
        <is>
          <t>Viernes</t>
        </is>
      </c>
      <c r="C439" s="31" t="inlineStr">
        <is>
          <t>Sucursal Central</t>
        </is>
      </c>
      <c r="D439" s="31" t="n">
        <v>58</v>
      </c>
      <c r="E439" s="31" t="inlineStr">
        <is>
          <t>Galletas</t>
        </is>
      </c>
      <c r="F439" s="32" t="inlineStr">
        <is>
          <t>Champurrada Pequeña</t>
        </is>
      </c>
      <c r="G439" s="31" t="n">
        <v>24</v>
      </c>
      <c r="H439" s="33" t="n"/>
      <c r="I439" s="33">
        <f>IF(H439&gt;0, H439*G439, "")</f>
        <v/>
      </c>
      <c r="J439" s="33" t="n"/>
      <c r="K439" s="33" t="n">
        <v>0</v>
      </c>
      <c r="L439" s="34">
        <f>IF(I439&gt;0, MAX(0, I439-J439-K439), 0)</f>
        <v/>
      </c>
      <c r="M439" s="35" t="n">
        <v>0.5</v>
      </c>
      <c r="N439" s="36">
        <f>L439*M439</f>
        <v/>
      </c>
    </row>
    <row r="440" ht="19" customHeight="1">
      <c r="A440" s="31" t="inlineStr">
        <is>
          <t>25/09/2026</t>
        </is>
      </c>
      <c r="B440" s="31" t="inlineStr">
        <is>
          <t>Viernes</t>
        </is>
      </c>
      <c r="C440" s="31" t="inlineStr">
        <is>
          <t>Sucursal Central</t>
        </is>
      </c>
      <c r="D440" s="31" t="n">
        <v>59</v>
      </c>
      <c r="E440" s="31" t="inlineStr">
        <is>
          <t>Galletas</t>
        </is>
      </c>
      <c r="F440" s="32" t="inlineStr">
        <is>
          <t>Champurrada Grande</t>
        </is>
      </c>
      <c r="G440" s="31" t="n">
        <v>15</v>
      </c>
      <c r="H440" s="33" t="n"/>
      <c r="I440" s="33">
        <f>IF(H440&gt;0, H440*G440, "")</f>
        <v/>
      </c>
      <c r="J440" s="33" t="n"/>
      <c r="K440" s="33" t="n">
        <v>0</v>
      </c>
      <c r="L440" s="34">
        <f>IF(I440&gt;0, MAX(0, I440-J440-K440), 0)</f>
        <v/>
      </c>
      <c r="M440" s="35" t="n">
        <v>1.25</v>
      </c>
      <c r="N440" s="36">
        <f>L440*M440</f>
        <v/>
      </c>
    </row>
    <row r="441" ht="19" customHeight="1">
      <c r="A441" s="31" t="inlineStr">
        <is>
          <t>25/09/2026</t>
        </is>
      </c>
      <c r="B441" s="31" t="inlineStr">
        <is>
          <t>Viernes</t>
        </is>
      </c>
      <c r="C441" s="31" t="inlineStr">
        <is>
          <t>Sucursal Central</t>
        </is>
      </c>
      <c r="D441" s="31" t="n">
        <v>60</v>
      </c>
      <c r="E441" s="31" t="inlineStr">
        <is>
          <t>Reposteria</t>
        </is>
      </c>
      <c r="F441" s="32" t="inlineStr">
        <is>
          <t>Cubilete de Vainilla</t>
        </is>
      </c>
      <c r="G441" s="31" t="n">
        <v>30</v>
      </c>
      <c r="H441" s="33" t="n"/>
      <c r="I441" s="33">
        <f>IF(H441&gt;0, H441*G441, "")</f>
        <v/>
      </c>
      <c r="J441" s="33" t="n"/>
      <c r="K441" s="33" t="n">
        <v>0</v>
      </c>
      <c r="L441" s="34">
        <f>IF(I441&gt;0, MAX(0, I441-J441-K441), 0)</f>
        <v/>
      </c>
      <c r="M441" s="35" t="n">
        <v>2</v>
      </c>
      <c r="N441" s="36">
        <f>L441*M441</f>
        <v/>
      </c>
    </row>
    <row r="442" ht="19" customHeight="1">
      <c r="A442" s="31" t="inlineStr">
        <is>
          <t>25/09/2026</t>
        </is>
      </c>
      <c r="B442" s="31" t="inlineStr">
        <is>
          <t>Viernes</t>
        </is>
      </c>
      <c r="C442" s="31" t="inlineStr">
        <is>
          <t>Sucursal Central</t>
        </is>
      </c>
      <c r="D442" s="31" t="n">
        <v>61</v>
      </c>
      <c r="E442" s="31" t="inlineStr">
        <is>
          <t>Reposteria</t>
        </is>
      </c>
      <c r="F442" s="32" t="inlineStr">
        <is>
          <t>Cubilete de Banano</t>
        </is>
      </c>
      <c r="G442" s="31" t="n">
        <v>30</v>
      </c>
      <c r="H442" s="33" t="n"/>
      <c r="I442" s="33">
        <f>IF(H442&gt;0, H442*G442, "")</f>
        <v/>
      </c>
      <c r="J442" s="33" t="n"/>
      <c r="K442" s="33" t="n">
        <v>0</v>
      </c>
      <c r="L442" s="34">
        <f>IF(I442&gt;0, MAX(0, I442-J442-K442), 0)</f>
        <v/>
      </c>
      <c r="M442" s="35" t="n">
        <v>2</v>
      </c>
      <c r="N442" s="36">
        <f>L442*M442</f>
        <v/>
      </c>
    </row>
    <row r="443" ht="19" customHeight="1">
      <c r="A443" s="31" t="inlineStr">
        <is>
          <t>25/09/2026</t>
        </is>
      </c>
      <c r="B443" s="31" t="inlineStr">
        <is>
          <t>Viernes</t>
        </is>
      </c>
      <c r="C443" s="31" t="inlineStr">
        <is>
          <t>Sucursal Central</t>
        </is>
      </c>
      <c r="D443" s="31" t="n">
        <v>62</v>
      </c>
      <c r="E443" s="31" t="inlineStr">
        <is>
          <t>Reposteria</t>
        </is>
      </c>
      <c r="F443" s="32" t="inlineStr">
        <is>
          <t>Empanada de Piña</t>
        </is>
      </c>
      <c r="G443" s="31" t="n">
        <v>16</v>
      </c>
      <c r="H443" s="33" t="n"/>
      <c r="I443" s="33">
        <f>IF(H443&gt;0, H443*G443, "")</f>
        <v/>
      </c>
      <c r="J443" s="33" t="n"/>
      <c r="K443" s="33" t="n">
        <v>0</v>
      </c>
      <c r="L443" s="34">
        <f>IF(I443&gt;0, MAX(0, I443-J443-K443), 0)</f>
        <v/>
      </c>
      <c r="M443" s="35" t="n">
        <v>2.5</v>
      </c>
      <c r="N443" s="36">
        <f>L443*M443</f>
        <v/>
      </c>
    </row>
    <row r="444" ht="19" customHeight="1">
      <c r="A444" s="31" t="inlineStr">
        <is>
          <t>25/09/2026</t>
        </is>
      </c>
      <c r="B444" s="31" t="inlineStr">
        <is>
          <t>Viernes</t>
        </is>
      </c>
      <c r="C444" s="31" t="inlineStr">
        <is>
          <t>Sucursal Central</t>
        </is>
      </c>
      <c r="D444" s="31" t="n">
        <v>63</v>
      </c>
      <c r="E444" s="31" t="inlineStr">
        <is>
          <t>Reposteria</t>
        </is>
      </c>
      <c r="F444" s="32" t="inlineStr">
        <is>
          <t>Empanada de Manjar</t>
        </is>
      </c>
      <c r="G444" s="31" t="n">
        <v>16</v>
      </c>
      <c r="H444" s="33" t="n"/>
      <c r="I444" s="33">
        <f>IF(H444&gt;0, H444*G444, "")</f>
        <v/>
      </c>
      <c r="J444" s="33" t="n"/>
      <c r="K444" s="33" t="n">
        <v>0</v>
      </c>
      <c r="L444" s="34">
        <f>IF(I444&gt;0, MAX(0, I444-J444-K444), 0)</f>
        <v/>
      </c>
      <c r="M444" s="35" t="n">
        <v>2.5</v>
      </c>
      <c r="N444" s="36">
        <f>L444*M444</f>
        <v/>
      </c>
    </row>
    <row r="445" ht="19" customHeight="1">
      <c r="A445" s="31" t="inlineStr">
        <is>
          <t>25/09/2026</t>
        </is>
      </c>
      <c r="B445" s="31" t="inlineStr">
        <is>
          <t>Viernes</t>
        </is>
      </c>
      <c r="C445" s="31" t="inlineStr">
        <is>
          <t>Sucursal Central</t>
        </is>
      </c>
      <c r="D445" s="31" t="n">
        <v>64</v>
      </c>
      <c r="E445" s="31" t="inlineStr">
        <is>
          <t>Galletas</t>
        </is>
      </c>
      <c r="F445" s="32" t="inlineStr">
        <is>
          <t>Polvorosa Tradicional</t>
        </is>
      </c>
      <c r="G445" s="31" t="n">
        <v>15</v>
      </c>
      <c r="H445" s="33" t="n"/>
      <c r="I445" s="33">
        <f>IF(H445&gt;0, H445*G445, "")</f>
        <v/>
      </c>
      <c r="J445" s="33" t="n"/>
      <c r="K445" s="33" t="n">
        <v>0</v>
      </c>
      <c r="L445" s="34">
        <f>IF(I445&gt;0, MAX(0, I445-J445-K445), 0)</f>
        <v/>
      </c>
      <c r="M445" s="35" t="n">
        <v>1.25</v>
      </c>
      <c r="N445" s="36">
        <f>L445*M445</f>
        <v/>
      </c>
    </row>
    <row r="446" ht="19" customHeight="1">
      <c r="A446" s="31" t="inlineStr">
        <is>
          <t>25/09/2026</t>
        </is>
      </c>
      <c r="B446" s="31" t="inlineStr">
        <is>
          <t>Viernes</t>
        </is>
      </c>
      <c r="C446" s="31" t="inlineStr">
        <is>
          <t>Sucursal Central</t>
        </is>
      </c>
      <c r="D446" s="31" t="n">
        <v>65</v>
      </c>
      <c r="E446" s="31" t="inlineStr">
        <is>
          <t>Donas</t>
        </is>
      </c>
      <c r="F446" s="32" t="inlineStr">
        <is>
          <t>Dona Simple Glaseada</t>
        </is>
      </c>
      <c r="G446" s="31" t="n">
        <v>24</v>
      </c>
      <c r="H446" s="33" t="n"/>
      <c r="I446" s="33">
        <f>IF(H446&gt;0, H446*G446, "")</f>
        <v/>
      </c>
      <c r="J446" s="33" t="n"/>
      <c r="K446" s="33" t="n">
        <v>0</v>
      </c>
      <c r="L446" s="34">
        <f>IF(I446&gt;0, MAX(0, I446-J446-K446), 0)</f>
        <v/>
      </c>
      <c r="M446" s="35" t="n">
        <v>2.5</v>
      </c>
      <c r="N446" s="36">
        <f>L446*M446</f>
        <v/>
      </c>
    </row>
    <row r="447" ht="19" customHeight="1">
      <c r="A447" s="31" t="inlineStr">
        <is>
          <t>25/09/2026</t>
        </is>
      </c>
      <c r="B447" s="31" t="inlineStr">
        <is>
          <t>Viernes</t>
        </is>
      </c>
      <c r="C447" s="31" t="inlineStr">
        <is>
          <t>Sucursal Central</t>
        </is>
      </c>
      <c r="D447" s="31" t="n">
        <v>66</v>
      </c>
      <c r="E447" s="31" t="inlineStr">
        <is>
          <t>Donas</t>
        </is>
      </c>
      <c r="F447" s="32" t="inlineStr">
        <is>
          <t>Dona Rellena de Manjar</t>
        </is>
      </c>
      <c r="G447" s="31" t="n">
        <v>24</v>
      </c>
      <c r="H447" s="33" t="n"/>
      <c r="I447" s="33">
        <f>IF(H447&gt;0, H447*G447, "")</f>
        <v/>
      </c>
      <c r="J447" s="33" t="n"/>
      <c r="K447" s="33" t="n">
        <v>0</v>
      </c>
      <c r="L447" s="34">
        <f>IF(I447&gt;0, MAX(0, I447-J447-K447), 0)</f>
        <v/>
      </c>
      <c r="M447" s="35" t="n">
        <v>4</v>
      </c>
      <c r="N447" s="36">
        <f>L447*M447</f>
        <v/>
      </c>
    </row>
    <row r="448" ht="19" customHeight="1">
      <c r="A448" s="31" t="inlineStr">
        <is>
          <t>25/09/2026</t>
        </is>
      </c>
      <c r="B448" s="31" t="inlineStr">
        <is>
          <t>Viernes</t>
        </is>
      </c>
      <c r="C448" s="31" t="inlineStr">
        <is>
          <t>Sucursal Central</t>
        </is>
      </c>
      <c r="D448" s="31" t="n">
        <v>67</v>
      </c>
      <c r="E448" s="31" t="inlineStr">
        <is>
          <t>Donas</t>
        </is>
      </c>
      <c r="F448" s="32" t="inlineStr">
        <is>
          <t>Dona Rellena de Fresa</t>
        </is>
      </c>
      <c r="G448" s="31" t="n">
        <v>24</v>
      </c>
      <c r="H448" s="33" t="n"/>
      <c r="I448" s="33">
        <f>IF(H448&gt;0, H448*G448, "")</f>
        <v/>
      </c>
      <c r="J448" s="33" t="n"/>
      <c r="K448" s="33" t="n">
        <v>0</v>
      </c>
      <c r="L448" s="34">
        <f>IF(I448&gt;0, MAX(0, I448-J448-K448), 0)</f>
        <v/>
      </c>
      <c r="M448" s="35" t="n">
        <v>4</v>
      </c>
      <c r="N448" s="36">
        <f>L448*M448</f>
        <v/>
      </c>
    </row>
    <row r="449" ht="19" customHeight="1">
      <c r="A449" s="31" t="inlineStr">
        <is>
          <t>25/09/2026</t>
        </is>
      </c>
      <c r="B449" s="31" t="inlineStr">
        <is>
          <t>Viernes</t>
        </is>
      </c>
      <c r="C449" s="31" t="inlineStr">
        <is>
          <t>Sucursal Central</t>
        </is>
      </c>
      <c r="D449" s="31" t="n">
        <v>68</v>
      </c>
      <c r="E449" s="31" t="inlineStr">
        <is>
          <t>Pan Dulce</t>
        </is>
      </c>
      <c r="F449" s="32" t="inlineStr">
        <is>
          <t>Campechana</t>
        </is>
      </c>
      <c r="G449" s="31" t="n">
        <v>20</v>
      </c>
      <c r="H449" s="33" t="n"/>
      <c r="I449" s="33">
        <f>IF(H449&gt;0, H449*G449, "")</f>
        <v/>
      </c>
      <c r="J449" s="33" t="n"/>
      <c r="K449" s="33" t="n">
        <v>0</v>
      </c>
      <c r="L449" s="34">
        <f>IF(I449&gt;0, MAX(0, I449-J449-K449), 0)</f>
        <v/>
      </c>
      <c r="M449" s="35" t="n">
        <v>1.25</v>
      </c>
      <c r="N449" s="36">
        <f>L449*M449</f>
        <v/>
      </c>
    </row>
    <row r="450" ht="19" customHeight="1">
      <c r="A450" s="31" t="inlineStr">
        <is>
          <t>25/09/2026</t>
        </is>
      </c>
      <c r="B450" s="31" t="inlineStr">
        <is>
          <t>Viernes</t>
        </is>
      </c>
      <c r="C450" s="31" t="inlineStr">
        <is>
          <t>Sucursal Central</t>
        </is>
      </c>
      <c r="D450" s="31" t="n">
        <v>69</v>
      </c>
      <c r="E450" s="31" t="inlineStr">
        <is>
          <t>Pan Dulce</t>
        </is>
      </c>
      <c r="F450" s="32" t="inlineStr">
        <is>
          <t>Pasitas</t>
        </is>
      </c>
      <c r="G450" s="31" t="n">
        <v>30</v>
      </c>
      <c r="H450" s="33" t="n"/>
      <c r="I450" s="33">
        <f>IF(H450&gt;0, H450*G450, "")</f>
        <v/>
      </c>
      <c r="J450" s="33" t="n"/>
      <c r="K450" s="33" t="n">
        <v>0</v>
      </c>
      <c r="L450" s="34">
        <f>IF(I450&gt;0, MAX(0, I450-J450-K450), 0)</f>
        <v/>
      </c>
      <c r="M450" s="35" t="n">
        <v>0.75</v>
      </c>
      <c r="N450" s="36">
        <f>L450*M450</f>
        <v/>
      </c>
    </row>
    <row r="451" ht="19" customHeight="1">
      <c r="A451" s="31" t="inlineStr">
        <is>
          <t>25/09/2026</t>
        </is>
      </c>
      <c r="B451" s="31" t="inlineStr">
        <is>
          <t>Viernes</t>
        </is>
      </c>
      <c r="C451" s="31" t="inlineStr">
        <is>
          <t>Sucursal Central</t>
        </is>
      </c>
      <c r="D451" s="31" t="n">
        <v>70</v>
      </c>
      <c r="E451" s="31" t="inlineStr">
        <is>
          <t>Reposteria</t>
        </is>
      </c>
      <c r="F451" s="32" t="inlineStr">
        <is>
          <t>Cortada de Fresa</t>
        </is>
      </c>
      <c r="G451" s="31" t="n">
        <v>14</v>
      </c>
      <c r="H451" s="33" t="n"/>
      <c r="I451" s="33">
        <f>IF(H451&gt;0, H451*G451, "")</f>
        <v/>
      </c>
      <c r="J451" s="33" t="n"/>
      <c r="K451" s="33" t="n">
        <v>0</v>
      </c>
      <c r="L451" s="34">
        <f>IF(I451&gt;0, MAX(0, I451-J451-K451), 0)</f>
        <v/>
      </c>
      <c r="M451" s="35" t="n">
        <v>2.5</v>
      </c>
      <c r="N451" s="36">
        <f>L451*M451</f>
        <v/>
      </c>
    </row>
    <row r="452" ht="19" customHeight="1">
      <c r="A452" s="31" t="inlineStr">
        <is>
          <t>25/09/2026</t>
        </is>
      </c>
      <c r="B452" s="31" t="inlineStr">
        <is>
          <t>Viernes</t>
        </is>
      </c>
      <c r="C452" s="31" t="inlineStr">
        <is>
          <t>Sucursal Central</t>
        </is>
      </c>
      <c r="D452" s="31" t="n">
        <v>71</v>
      </c>
      <c r="E452" s="31" t="inlineStr">
        <is>
          <t>Reposteria</t>
        </is>
      </c>
      <c r="F452" s="32" t="inlineStr">
        <is>
          <t>Cortada de Chocolate</t>
        </is>
      </c>
      <c r="G452" s="31" t="n">
        <v>14</v>
      </c>
      <c r="H452" s="33" t="n"/>
      <c r="I452" s="33">
        <f>IF(H452&gt;0, H452*G452, "")</f>
        <v/>
      </c>
      <c r="J452" s="33" t="n"/>
      <c r="K452" s="33" t="n">
        <v>0</v>
      </c>
      <c r="L452" s="34">
        <f>IF(I452&gt;0, MAX(0, I452-J452-K452), 0)</f>
        <v/>
      </c>
      <c r="M452" s="35" t="n">
        <v>2.5</v>
      </c>
      <c r="N452" s="36">
        <f>L452*M452</f>
        <v/>
      </c>
    </row>
    <row r="453" ht="19" customHeight="1">
      <c r="A453" s="37" t="inlineStr">
        <is>
          <t>26/09/2026</t>
        </is>
      </c>
      <c r="B453" s="37" t="inlineStr">
        <is>
          <t>Sábado</t>
        </is>
      </c>
      <c r="C453" s="37" t="inlineStr">
        <is>
          <t>Sucursal Central</t>
        </is>
      </c>
      <c r="D453" s="37" t="n">
        <v>54</v>
      </c>
      <c r="E453" s="37" t="inlineStr">
        <is>
          <t>Pan</t>
        </is>
      </c>
      <c r="F453" s="38" t="inlineStr">
        <is>
          <t>Pan Francés Tradicional</t>
        </is>
      </c>
      <c r="G453" s="37" t="n">
        <v>36</v>
      </c>
      <c r="H453" s="39" t="n"/>
      <c r="I453" s="39">
        <f>IF(H453&gt;0, H453*G453, "")</f>
        <v/>
      </c>
      <c r="J453" s="39" t="n"/>
      <c r="K453" s="39" t="n">
        <v>0</v>
      </c>
      <c r="L453" s="40">
        <f>IF(I453&gt;0, MAX(0, I453-J453-K453), 0)</f>
        <v/>
      </c>
      <c r="M453" s="41" t="n">
        <v>0.5</v>
      </c>
      <c r="N453" s="42">
        <f>L453*M453</f>
        <v/>
      </c>
    </row>
    <row r="454" ht="19" customHeight="1">
      <c r="A454" s="37" t="inlineStr">
        <is>
          <t>26/09/2026</t>
        </is>
      </c>
      <c r="B454" s="37" t="inlineStr">
        <is>
          <t>Sábado</t>
        </is>
      </c>
      <c r="C454" s="37" t="inlineStr">
        <is>
          <t>Sucursal Central</t>
        </is>
      </c>
      <c r="D454" s="37" t="n">
        <v>55</v>
      </c>
      <c r="E454" s="37" t="inlineStr">
        <is>
          <t>Pan Dulce</t>
        </is>
      </c>
      <c r="F454" s="38" t="inlineStr">
        <is>
          <t>Pan Dulce Pequeño</t>
        </is>
      </c>
      <c r="G454" s="37" t="n">
        <v>40</v>
      </c>
      <c r="H454" s="39" t="n"/>
      <c r="I454" s="39">
        <f>IF(H454&gt;0, H454*G454, "")</f>
        <v/>
      </c>
      <c r="J454" s="39" t="n"/>
      <c r="K454" s="39" t="n">
        <v>0</v>
      </c>
      <c r="L454" s="40">
        <f>IF(I454&gt;0, MAX(0, I454-J454-K454), 0)</f>
        <v/>
      </c>
      <c r="M454" s="41" t="n">
        <v>0.5</v>
      </c>
      <c r="N454" s="42">
        <f>L454*M454</f>
        <v/>
      </c>
    </row>
    <row r="455" ht="19" customHeight="1">
      <c r="A455" s="37" t="inlineStr">
        <is>
          <t>26/09/2026</t>
        </is>
      </c>
      <c r="B455" s="37" t="inlineStr">
        <is>
          <t>Sábado</t>
        </is>
      </c>
      <c r="C455" s="37" t="inlineStr">
        <is>
          <t>Sucursal Central</t>
        </is>
      </c>
      <c r="D455" s="37" t="n">
        <v>56</v>
      </c>
      <c r="E455" s="37" t="inlineStr">
        <is>
          <t>Pan Dulce</t>
        </is>
      </c>
      <c r="F455" s="38" t="inlineStr">
        <is>
          <t>Pan Dulce Grande</t>
        </is>
      </c>
      <c r="G455" s="37" t="n">
        <v>20</v>
      </c>
      <c r="H455" s="39" t="n"/>
      <c r="I455" s="39">
        <f>IF(H455&gt;0, H455*G455, "")</f>
        <v/>
      </c>
      <c r="J455" s="39" t="n"/>
      <c r="K455" s="39" t="n">
        <v>0</v>
      </c>
      <c r="L455" s="40">
        <f>IF(I455&gt;0, MAX(0, I455-J455-K455), 0)</f>
        <v/>
      </c>
      <c r="M455" s="41" t="n">
        <v>1.25</v>
      </c>
      <c r="N455" s="42">
        <f>L455*M455</f>
        <v/>
      </c>
    </row>
    <row r="456" ht="19" customHeight="1">
      <c r="A456" s="37" t="inlineStr">
        <is>
          <t>26/09/2026</t>
        </is>
      </c>
      <c r="B456" s="37" t="inlineStr">
        <is>
          <t>Sábado</t>
        </is>
      </c>
      <c r="C456" s="37" t="inlineStr">
        <is>
          <t>Sucursal Central</t>
        </is>
      </c>
      <c r="D456" s="37" t="n">
        <v>57</v>
      </c>
      <c r="E456" s="37" t="inlineStr">
        <is>
          <t>Galletas</t>
        </is>
      </c>
      <c r="F456" s="38" t="inlineStr">
        <is>
          <t>Pan Galleta</t>
        </is>
      </c>
      <c r="G456" s="37" t="n">
        <v>20</v>
      </c>
      <c r="H456" s="39" t="n"/>
      <c r="I456" s="39">
        <f>IF(H456&gt;0, H456*G456, "")</f>
        <v/>
      </c>
      <c r="J456" s="39" t="n"/>
      <c r="K456" s="39" t="n">
        <v>0</v>
      </c>
      <c r="L456" s="40">
        <f>IF(I456&gt;0, MAX(0, I456-J456-K456), 0)</f>
        <v/>
      </c>
      <c r="M456" s="41" t="n">
        <v>1.25</v>
      </c>
      <c r="N456" s="42">
        <f>L456*M456</f>
        <v/>
      </c>
    </row>
    <row r="457" ht="19" customHeight="1">
      <c r="A457" s="37" t="inlineStr">
        <is>
          <t>26/09/2026</t>
        </is>
      </c>
      <c r="B457" s="37" t="inlineStr">
        <is>
          <t>Sábado</t>
        </is>
      </c>
      <c r="C457" s="37" t="inlineStr">
        <is>
          <t>Sucursal Central</t>
        </is>
      </c>
      <c r="D457" s="37" t="n">
        <v>58</v>
      </c>
      <c r="E457" s="37" t="inlineStr">
        <is>
          <t>Galletas</t>
        </is>
      </c>
      <c r="F457" s="38" t="inlineStr">
        <is>
          <t>Champurrada Pequeña</t>
        </is>
      </c>
      <c r="G457" s="37" t="n">
        <v>24</v>
      </c>
      <c r="H457" s="39" t="n"/>
      <c r="I457" s="39">
        <f>IF(H457&gt;0, H457*G457, "")</f>
        <v/>
      </c>
      <c r="J457" s="39" t="n"/>
      <c r="K457" s="39" t="n">
        <v>0</v>
      </c>
      <c r="L457" s="40">
        <f>IF(I457&gt;0, MAX(0, I457-J457-K457), 0)</f>
        <v/>
      </c>
      <c r="M457" s="41" t="n">
        <v>0.5</v>
      </c>
      <c r="N457" s="42">
        <f>L457*M457</f>
        <v/>
      </c>
    </row>
    <row r="458" ht="19" customHeight="1">
      <c r="A458" s="37" t="inlineStr">
        <is>
          <t>26/09/2026</t>
        </is>
      </c>
      <c r="B458" s="37" t="inlineStr">
        <is>
          <t>Sábado</t>
        </is>
      </c>
      <c r="C458" s="37" t="inlineStr">
        <is>
          <t>Sucursal Central</t>
        </is>
      </c>
      <c r="D458" s="37" t="n">
        <v>59</v>
      </c>
      <c r="E458" s="37" t="inlineStr">
        <is>
          <t>Galletas</t>
        </is>
      </c>
      <c r="F458" s="38" t="inlineStr">
        <is>
          <t>Champurrada Grande</t>
        </is>
      </c>
      <c r="G458" s="37" t="n">
        <v>15</v>
      </c>
      <c r="H458" s="39" t="n"/>
      <c r="I458" s="39">
        <f>IF(H458&gt;0, H458*G458, "")</f>
        <v/>
      </c>
      <c r="J458" s="39" t="n"/>
      <c r="K458" s="39" t="n">
        <v>0</v>
      </c>
      <c r="L458" s="40">
        <f>IF(I458&gt;0, MAX(0, I458-J458-K458), 0)</f>
        <v/>
      </c>
      <c r="M458" s="41" t="n">
        <v>1.25</v>
      </c>
      <c r="N458" s="42">
        <f>L458*M458</f>
        <v/>
      </c>
    </row>
    <row r="459" ht="19" customHeight="1">
      <c r="A459" s="37" t="inlineStr">
        <is>
          <t>26/09/2026</t>
        </is>
      </c>
      <c r="B459" s="37" t="inlineStr">
        <is>
          <t>Sábado</t>
        </is>
      </c>
      <c r="C459" s="37" t="inlineStr">
        <is>
          <t>Sucursal Central</t>
        </is>
      </c>
      <c r="D459" s="37" t="n">
        <v>60</v>
      </c>
      <c r="E459" s="37" t="inlineStr">
        <is>
          <t>Reposteria</t>
        </is>
      </c>
      <c r="F459" s="38" t="inlineStr">
        <is>
          <t>Cubilete de Vainilla</t>
        </is>
      </c>
      <c r="G459" s="37" t="n">
        <v>30</v>
      </c>
      <c r="H459" s="39" t="n"/>
      <c r="I459" s="39">
        <f>IF(H459&gt;0, H459*G459, "")</f>
        <v/>
      </c>
      <c r="J459" s="39" t="n"/>
      <c r="K459" s="39" t="n">
        <v>0</v>
      </c>
      <c r="L459" s="40">
        <f>IF(I459&gt;0, MAX(0, I459-J459-K459), 0)</f>
        <v/>
      </c>
      <c r="M459" s="41" t="n">
        <v>2</v>
      </c>
      <c r="N459" s="42">
        <f>L459*M459</f>
        <v/>
      </c>
    </row>
    <row r="460" ht="19" customHeight="1">
      <c r="A460" s="37" t="inlineStr">
        <is>
          <t>26/09/2026</t>
        </is>
      </c>
      <c r="B460" s="37" t="inlineStr">
        <is>
          <t>Sábado</t>
        </is>
      </c>
      <c r="C460" s="37" t="inlineStr">
        <is>
          <t>Sucursal Central</t>
        </is>
      </c>
      <c r="D460" s="37" t="n">
        <v>61</v>
      </c>
      <c r="E460" s="37" t="inlineStr">
        <is>
          <t>Reposteria</t>
        </is>
      </c>
      <c r="F460" s="38" t="inlineStr">
        <is>
          <t>Cubilete de Banano</t>
        </is>
      </c>
      <c r="G460" s="37" t="n">
        <v>30</v>
      </c>
      <c r="H460" s="39" t="n"/>
      <c r="I460" s="39">
        <f>IF(H460&gt;0, H460*G460, "")</f>
        <v/>
      </c>
      <c r="J460" s="39" t="n"/>
      <c r="K460" s="39" t="n">
        <v>0</v>
      </c>
      <c r="L460" s="40">
        <f>IF(I460&gt;0, MAX(0, I460-J460-K460), 0)</f>
        <v/>
      </c>
      <c r="M460" s="41" t="n">
        <v>2</v>
      </c>
      <c r="N460" s="42">
        <f>L460*M460</f>
        <v/>
      </c>
    </row>
    <row r="461" ht="19" customHeight="1">
      <c r="A461" s="37" t="inlineStr">
        <is>
          <t>26/09/2026</t>
        </is>
      </c>
      <c r="B461" s="37" t="inlineStr">
        <is>
          <t>Sábado</t>
        </is>
      </c>
      <c r="C461" s="37" t="inlineStr">
        <is>
          <t>Sucursal Central</t>
        </is>
      </c>
      <c r="D461" s="37" t="n">
        <v>62</v>
      </c>
      <c r="E461" s="37" t="inlineStr">
        <is>
          <t>Reposteria</t>
        </is>
      </c>
      <c r="F461" s="38" t="inlineStr">
        <is>
          <t>Empanada de Piña</t>
        </is>
      </c>
      <c r="G461" s="37" t="n">
        <v>16</v>
      </c>
      <c r="H461" s="39" t="n"/>
      <c r="I461" s="39">
        <f>IF(H461&gt;0, H461*G461, "")</f>
        <v/>
      </c>
      <c r="J461" s="39" t="n"/>
      <c r="K461" s="39" t="n">
        <v>0</v>
      </c>
      <c r="L461" s="40">
        <f>IF(I461&gt;0, MAX(0, I461-J461-K461), 0)</f>
        <v/>
      </c>
      <c r="M461" s="41" t="n">
        <v>2.5</v>
      </c>
      <c r="N461" s="42">
        <f>L461*M461</f>
        <v/>
      </c>
    </row>
    <row r="462" ht="19" customHeight="1">
      <c r="A462" s="37" t="inlineStr">
        <is>
          <t>26/09/2026</t>
        </is>
      </c>
      <c r="B462" s="37" t="inlineStr">
        <is>
          <t>Sábado</t>
        </is>
      </c>
      <c r="C462" s="37" t="inlineStr">
        <is>
          <t>Sucursal Central</t>
        </is>
      </c>
      <c r="D462" s="37" t="n">
        <v>63</v>
      </c>
      <c r="E462" s="37" t="inlineStr">
        <is>
          <t>Reposteria</t>
        </is>
      </c>
      <c r="F462" s="38" t="inlineStr">
        <is>
          <t>Empanada de Manjar</t>
        </is>
      </c>
      <c r="G462" s="37" t="n">
        <v>16</v>
      </c>
      <c r="H462" s="39" t="n"/>
      <c r="I462" s="39">
        <f>IF(H462&gt;0, H462*G462, "")</f>
        <v/>
      </c>
      <c r="J462" s="39" t="n"/>
      <c r="K462" s="39" t="n">
        <v>0</v>
      </c>
      <c r="L462" s="40">
        <f>IF(I462&gt;0, MAX(0, I462-J462-K462), 0)</f>
        <v/>
      </c>
      <c r="M462" s="41" t="n">
        <v>2.5</v>
      </c>
      <c r="N462" s="42">
        <f>L462*M462</f>
        <v/>
      </c>
    </row>
    <row r="463" ht="19" customHeight="1">
      <c r="A463" s="37" t="inlineStr">
        <is>
          <t>26/09/2026</t>
        </is>
      </c>
      <c r="B463" s="37" t="inlineStr">
        <is>
          <t>Sábado</t>
        </is>
      </c>
      <c r="C463" s="37" t="inlineStr">
        <is>
          <t>Sucursal Central</t>
        </is>
      </c>
      <c r="D463" s="37" t="n">
        <v>64</v>
      </c>
      <c r="E463" s="37" t="inlineStr">
        <is>
          <t>Galletas</t>
        </is>
      </c>
      <c r="F463" s="38" t="inlineStr">
        <is>
          <t>Polvorosa Tradicional</t>
        </is>
      </c>
      <c r="G463" s="37" t="n">
        <v>15</v>
      </c>
      <c r="H463" s="39" t="n"/>
      <c r="I463" s="39">
        <f>IF(H463&gt;0, H463*G463, "")</f>
        <v/>
      </c>
      <c r="J463" s="39" t="n"/>
      <c r="K463" s="39" t="n">
        <v>0</v>
      </c>
      <c r="L463" s="40">
        <f>IF(I463&gt;0, MAX(0, I463-J463-K463), 0)</f>
        <v/>
      </c>
      <c r="M463" s="41" t="n">
        <v>1.25</v>
      </c>
      <c r="N463" s="42">
        <f>L463*M463</f>
        <v/>
      </c>
    </row>
    <row r="464" ht="19" customHeight="1">
      <c r="A464" s="37" t="inlineStr">
        <is>
          <t>26/09/2026</t>
        </is>
      </c>
      <c r="B464" s="37" t="inlineStr">
        <is>
          <t>Sábado</t>
        </is>
      </c>
      <c r="C464" s="37" t="inlineStr">
        <is>
          <t>Sucursal Central</t>
        </is>
      </c>
      <c r="D464" s="37" t="n">
        <v>65</v>
      </c>
      <c r="E464" s="37" t="inlineStr">
        <is>
          <t>Donas</t>
        </is>
      </c>
      <c r="F464" s="38" t="inlineStr">
        <is>
          <t>Dona Simple Glaseada</t>
        </is>
      </c>
      <c r="G464" s="37" t="n">
        <v>24</v>
      </c>
      <c r="H464" s="39" t="n"/>
      <c r="I464" s="39">
        <f>IF(H464&gt;0, H464*G464, "")</f>
        <v/>
      </c>
      <c r="J464" s="39" t="n"/>
      <c r="K464" s="39" t="n">
        <v>0</v>
      </c>
      <c r="L464" s="40">
        <f>IF(I464&gt;0, MAX(0, I464-J464-K464), 0)</f>
        <v/>
      </c>
      <c r="M464" s="41" t="n">
        <v>2.5</v>
      </c>
      <c r="N464" s="42">
        <f>L464*M464</f>
        <v/>
      </c>
    </row>
    <row r="465" ht="19" customHeight="1">
      <c r="A465" s="37" t="inlineStr">
        <is>
          <t>26/09/2026</t>
        </is>
      </c>
      <c r="B465" s="37" t="inlineStr">
        <is>
          <t>Sábado</t>
        </is>
      </c>
      <c r="C465" s="37" t="inlineStr">
        <is>
          <t>Sucursal Central</t>
        </is>
      </c>
      <c r="D465" s="37" t="n">
        <v>66</v>
      </c>
      <c r="E465" s="37" t="inlineStr">
        <is>
          <t>Donas</t>
        </is>
      </c>
      <c r="F465" s="38" t="inlineStr">
        <is>
          <t>Dona Rellena de Manjar</t>
        </is>
      </c>
      <c r="G465" s="37" t="n">
        <v>24</v>
      </c>
      <c r="H465" s="39" t="n"/>
      <c r="I465" s="39">
        <f>IF(H465&gt;0, H465*G465, "")</f>
        <v/>
      </c>
      <c r="J465" s="39" t="n"/>
      <c r="K465" s="39" t="n">
        <v>0</v>
      </c>
      <c r="L465" s="40">
        <f>IF(I465&gt;0, MAX(0, I465-J465-K465), 0)</f>
        <v/>
      </c>
      <c r="M465" s="41" t="n">
        <v>4</v>
      </c>
      <c r="N465" s="42">
        <f>L465*M465</f>
        <v/>
      </c>
    </row>
    <row r="466" ht="19" customHeight="1">
      <c r="A466" s="37" t="inlineStr">
        <is>
          <t>26/09/2026</t>
        </is>
      </c>
      <c r="B466" s="37" t="inlineStr">
        <is>
          <t>Sábado</t>
        </is>
      </c>
      <c r="C466" s="37" t="inlineStr">
        <is>
          <t>Sucursal Central</t>
        </is>
      </c>
      <c r="D466" s="37" t="n">
        <v>67</v>
      </c>
      <c r="E466" s="37" t="inlineStr">
        <is>
          <t>Donas</t>
        </is>
      </c>
      <c r="F466" s="38" t="inlineStr">
        <is>
          <t>Dona Rellena de Fresa</t>
        </is>
      </c>
      <c r="G466" s="37" t="n">
        <v>24</v>
      </c>
      <c r="H466" s="39" t="n"/>
      <c r="I466" s="39">
        <f>IF(H466&gt;0, H466*G466, "")</f>
        <v/>
      </c>
      <c r="J466" s="39" t="n"/>
      <c r="K466" s="39" t="n">
        <v>0</v>
      </c>
      <c r="L466" s="40">
        <f>IF(I466&gt;0, MAX(0, I466-J466-K466), 0)</f>
        <v/>
      </c>
      <c r="M466" s="41" t="n">
        <v>4</v>
      </c>
      <c r="N466" s="42">
        <f>L466*M466</f>
        <v/>
      </c>
    </row>
    <row r="467" ht="19" customHeight="1">
      <c r="A467" s="37" t="inlineStr">
        <is>
          <t>26/09/2026</t>
        </is>
      </c>
      <c r="B467" s="37" t="inlineStr">
        <is>
          <t>Sábado</t>
        </is>
      </c>
      <c r="C467" s="37" t="inlineStr">
        <is>
          <t>Sucursal Central</t>
        </is>
      </c>
      <c r="D467" s="37" t="n">
        <v>68</v>
      </c>
      <c r="E467" s="37" t="inlineStr">
        <is>
          <t>Pan Dulce</t>
        </is>
      </c>
      <c r="F467" s="38" t="inlineStr">
        <is>
          <t>Campechana</t>
        </is>
      </c>
      <c r="G467" s="37" t="n">
        <v>20</v>
      </c>
      <c r="H467" s="39" t="n"/>
      <c r="I467" s="39">
        <f>IF(H467&gt;0, H467*G467, "")</f>
        <v/>
      </c>
      <c r="J467" s="39" t="n"/>
      <c r="K467" s="39" t="n">
        <v>0</v>
      </c>
      <c r="L467" s="40">
        <f>IF(I467&gt;0, MAX(0, I467-J467-K467), 0)</f>
        <v/>
      </c>
      <c r="M467" s="41" t="n">
        <v>1.25</v>
      </c>
      <c r="N467" s="42">
        <f>L467*M467</f>
        <v/>
      </c>
    </row>
    <row r="468" ht="19" customHeight="1">
      <c r="A468" s="37" t="inlineStr">
        <is>
          <t>26/09/2026</t>
        </is>
      </c>
      <c r="B468" s="37" t="inlineStr">
        <is>
          <t>Sábado</t>
        </is>
      </c>
      <c r="C468" s="37" t="inlineStr">
        <is>
          <t>Sucursal Central</t>
        </is>
      </c>
      <c r="D468" s="37" t="n">
        <v>69</v>
      </c>
      <c r="E468" s="37" t="inlineStr">
        <is>
          <t>Pan Dulce</t>
        </is>
      </c>
      <c r="F468" s="38" t="inlineStr">
        <is>
          <t>Pasitas</t>
        </is>
      </c>
      <c r="G468" s="37" t="n">
        <v>30</v>
      </c>
      <c r="H468" s="39" t="n"/>
      <c r="I468" s="39">
        <f>IF(H468&gt;0, H468*G468, "")</f>
        <v/>
      </c>
      <c r="J468" s="39" t="n"/>
      <c r="K468" s="39" t="n">
        <v>0</v>
      </c>
      <c r="L468" s="40">
        <f>IF(I468&gt;0, MAX(0, I468-J468-K468), 0)</f>
        <v/>
      </c>
      <c r="M468" s="41" t="n">
        <v>0.75</v>
      </c>
      <c r="N468" s="42">
        <f>L468*M468</f>
        <v/>
      </c>
    </row>
    <row r="469" ht="19" customHeight="1">
      <c r="A469" s="37" t="inlineStr">
        <is>
          <t>26/09/2026</t>
        </is>
      </c>
      <c r="B469" s="37" t="inlineStr">
        <is>
          <t>Sábado</t>
        </is>
      </c>
      <c r="C469" s="37" t="inlineStr">
        <is>
          <t>Sucursal Central</t>
        </is>
      </c>
      <c r="D469" s="37" t="n">
        <v>70</v>
      </c>
      <c r="E469" s="37" t="inlineStr">
        <is>
          <t>Reposteria</t>
        </is>
      </c>
      <c r="F469" s="38" t="inlineStr">
        <is>
          <t>Cortada de Fresa</t>
        </is>
      </c>
      <c r="G469" s="37" t="n">
        <v>14</v>
      </c>
      <c r="H469" s="39" t="n"/>
      <c r="I469" s="39">
        <f>IF(H469&gt;0, H469*G469, "")</f>
        <v/>
      </c>
      <c r="J469" s="39" t="n"/>
      <c r="K469" s="39" t="n">
        <v>0</v>
      </c>
      <c r="L469" s="40">
        <f>IF(I469&gt;0, MAX(0, I469-J469-K469), 0)</f>
        <v/>
      </c>
      <c r="M469" s="41" t="n">
        <v>2.5</v>
      </c>
      <c r="N469" s="42">
        <f>L469*M469</f>
        <v/>
      </c>
    </row>
    <row r="470" ht="19" customHeight="1">
      <c r="A470" s="37" t="inlineStr">
        <is>
          <t>26/09/2026</t>
        </is>
      </c>
      <c r="B470" s="37" t="inlineStr">
        <is>
          <t>Sábado</t>
        </is>
      </c>
      <c r="C470" s="37" t="inlineStr">
        <is>
          <t>Sucursal Central</t>
        </is>
      </c>
      <c r="D470" s="37" t="n">
        <v>71</v>
      </c>
      <c r="E470" s="37" t="inlineStr">
        <is>
          <t>Reposteria</t>
        </is>
      </c>
      <c r="F470" s="38" t="inlineStr">
        <is>
          <t>Cortada de Chocolate</t>
        </is>
      </c>
      <c r="G470" s="37" t="n">
        <v>14</v>
      </c>
      <c r="H470" s="39" t="n"/>
      <c r="I470" s="39">
        <f>IF(H470&gt;0, H470*G470, "")</f>
        <v/>
      </c>
      <c r="J470" s="39" t="n"/>
      <c r="K470" s="39" t="n">
        <v>0</v>
      </c>
      <c r="L470" s="40">
        <f>IF(I470&gt;0, MAX(0, I470-J470-K470), 0)</f>
        <v/>
      </c>
      <c r="M470" s="41" t="n">
        <v>2.5</v>
      </c>
      <c r="N470" s="42">
        <f>L470*M470</f>
        <v/>
      </c>
    </row>
    <row r="471" ht="19" customHeight="1">
      <c r="A471" s="43" t="inlineStr">
        <is>
          <t>27/09/2026</t>
        </is>
      </c>
      <c r="B471" s="43" t="inlineStr">
        <is>
          <t>Domingo</t>
        </is>
      </c>
      <c r="C471" s="43" t="inlineStr">
        <is>
          <t>Sucursal Central</t>
        </is>
      </c>
      <c r="D471" s="43" t="n">
        <v>54</v>
      </c>
      <c r="E471" s="43" t="inlineStr">
        <is>
          <t>Pan</t>
        </is>
      </c>
      <c r="F471" s="44" t="inlineStr">
        <is>
          <t>Pan Francés Tradicional</t>
        </is>
      </c>
      <c r="G471" s="43" t="n">
        <v>36</v>
      </c>
      <c r="H471" s="45" t="n"/>
      <c r="I471" s="45">
        <f>IF(H471&gt;0, H471*G471, "")</f>
        <v/>
      </c>
      <c r="J471" s="45" t="n"/>
      <c r="K471" s="45" t="n">
        <v>0</v>
      </c>
      <c r="L471" s="25">
        <f>IF(I471&gt;0, MAX(0, I471-J471-K471), 0)</f>
        <v/>
      </c>
      <c r="M471" s="46" t="n">
        <v>0.5</v>
      </c>
      <c r="N471" s="17">
        <f>L471*M471</f>
        <v/>
      </c>
    </row>
    <row r="472" ht="19" customHeight="1">
      <c r="A472" s="43" t="inlineStr">
        <is>
          <t>27/09/2026</t>
        </is>
      </c>
      <c r="B472" s="43" t="inlineStr">
        <is>
          <t>Domingo</t>
        </is>
      </c>
      <c r="C472" s="43" t="inlineStr">
        <is>
          <t>Sucursal Central</t>
        </is>
      </c>
      <c r="D472" s="43" t="n">
        <v>55</v>
      </c>
      <c r="E472" s="43" t="inlineStr">
        <is>
          <t>Pan Dulce</t>
        </is>
      </c>
      <c r="F472" s="44" t="inlineStr">
        <is>
          <t>Pan Dulce Pequeño</t>
        </is>
      </c>
      <c r="G472" s="43" t="n">
        <v>40</v>
      </c>
      <c r="H472" s="45" t="n"/>
      <c r="I472" s="45">
        <f>IF(H472&gt;0, H472*G472, "")</f>
        <v/>
      </c>
      <c r="J472" s="45" t="n"/>
      <c r="K472" s="45" t="n">
        <v>0</v>
      </c>
      <c r="L472" s="25">
        <f>IF(I472&gt;0, MAX(0, I472-J472-K472), 0)</f>
        <v/>
      </c>
      <c r="M472" s="46" t="n">
        <v>0.5</v>
      </c>
      <c r="N472" s="17">
        <f>L472*M472</f>
        <v/>
      </c>
    </row>
    <row r="473" ht="19" customHeight="1">
      <c r="A473" s="43" t="inlineStr">
        <is>
          <t>27/09/2026</t>
        </is>
      </c>
      <c r="B473" s="43" t="inlineStr">
        <is>
          <t>Domingo</t>
        </is>
      </c>
      <c r="C473" s="43" t="inlineStr">
        <is>
          <t>Sucursal Central</t>
        </is>
      </c>
      <c r="D473" s="43" t="n">
        <v>56</v>
      </c>
      <c r="E473" s="43" t="inlineStr">
        <is>
          <t>Pan Dulce</t>
        </is>
      </c>
      <c r="F473" s="44" t="inlineStr">
        <is>
          <t>Pan Dulce Grande</t>
        </is>
      </c>
      <c r="G473" s="43" t="n">
        <v>20</v>
      </c>
      <c r="H473" s="45" t="n"/>
      <c r="I473" s="45">
        <f>IF(H473&gt;0, H473*G473, "")</f>
        <v/>
      </c>
      <c r="J473" s="45" t="n"/>
      <c r="K473" s="45" t="n">
        <v>0</v>
      </c>
      <c r="L473" s="25">
        <f>IF(I473&gt;0, MAX(0, I473-J473-K473), 0)</f>
        <v/>
      </c>
      <c r="M473" s="46" t="n">
        <v>1.25</v>
      </c>
      <c r="N473" s="17">
        <f>L473*M473</f>
        <v/>
      </c>
    </row>
    <row r="474" ht="19" customHeight="1">
      <c r="A474" s="43" t="inlineStr">
        <is>
          <t>27/09/2026</t>
        </is>
      </c>
      <c r="B474" s="43" t="inlineStr">
        <is>
          <t>Domingo</t>
        </is>
      </c>
      <c r="C474" s="43" t="inlineStr">
        <is>
          <t>Sucursal Central</t>
        </is>
      </c>
      <c r="D474" s="43" t="n">
        <v>57</v>
      </c>
      <c r="E474" s="43" t="inlineStr">
        <is>
          <t>Galletas</t>
        </is>
      </c>
      <c r="F474" s="44" t="inlineStr">
        <is>
          <t>Pan Galleta</t>
        </is>
      </c>
      <c r="G474" s="43" t="n">
        <v>20</v>
      </c>
      <c r="H474" s="45" t="n"/>
      <c r="I474" s="45">
        <f>IF(H474&gt;0, H474*G474, "")</f>
        <v/>
      </c>
      <c r="J474" s="45" t="n"/>
      <c r="K474" s="45" t="n">
        <v>0</v>
      </c>
      <c r="L474" s="25">
        <f>IF(I474&gt;0, MAX(0, I474-J474-K474), 0)</f>
        <v/>
      </c>
      <c r="M474" s="46" t="n">
        <v>1.25</v>
      </c>
      <c r="N474" s="17">
        <f>L474*M474</f>
        <v/>
      </c>
    </row>
    <row r="475" ht="19" customHeight="1">
      <c r="A475" s="43" t="inlineStr">
        <is>
          <t>27/09/2026</t>
        </is>
      </c>
      <c r="B475" s="43" t="inlineStr">
        <is>
          <t>Domingo</t>
        </is>
      </c>
      <c r="C475" s="43" t="inlineStr">
        <is>
          <t>Sucursal Central</t>
        </is>
      </c>
      <c r="D475" s="43" t="n">
        <v>58</v>
      </c>
      <c r="E475" s="43" t="inlineStr">
        <is>
          <t>Galletas</t>
        </is>
      </c>
      <c r="F475" s="44" t="inlineStr">
        <is>
          <t>Champurrada Pequeña</t>
        </is>
      </c>
      <c r="G475" s="43" t="n">
        <v>24</v>
      </c>
      <c r="H475" s="45" t="n"/>
      <c r="I475" s="45">
        <f>IF(H475&gt;0, H475*G475, "")</f>
        <v/>
      </c>
      <c r="J475" s="45" t="n"/>
      <c r="K475" s="45" t="n">
        <v>0</v>
      </c>
      <c r="L475" s="25">
        <f>IF(I475&gt;0, MAX(0, I475-J475-K475), 0)</f>
        <v/>
      </c>
      <c r="M475" s="46" t="n">
        <v>0.5</v>
      </c>
      <c r="N475" s="17">
        <f>L475*M475</f>
        <v/>
      </c>
    </row>
    <row r="476" ht="19" customHeight="1">
      <c r="A476" s="43" t="inlineStr">
        <is>
          <t>27/09/2026</t>
        </is>
      </c>
      <c r="B476" s="43" t="inlineStr">
        <is>
          <t>Domingo</t>
        </is>
      </c>
      <c r="C476" s="43" t="inlineStr">
        <is>
          <t>Sucursal Central</t>
        </is>
      </c>
      <c r="D476" s="43" t="n">
        <v>59</v>
      </c>
      <c r="E476" s="43" t="inlineStr">
        <is>
          <t>Galletas</t>
        </is>
      </c>
      <c r="F476" s="44" t="inlineStr">
        <is>
          <t>Champurrada Grande</t>
        </is>
      </c>
      <c r="G476" s="43" t="n">
        <v>15</v>
      </c>
      <c r="H476" s="45" t="n"/>
      <c r="I476" s="45">
        <f>IF(H476&gt;0, H476*G476, "")</f>
        <v/>
      </c>
      <c r="J476" s="45" t="n"/>
      <c r="K476" s="45" t="n">
        <v>0</v>
      </c>
      <c r="L476" s="25">
        <f>IF(I476&gt;0, MAX(0, I476-J476-K476), 0)</f>
        <v/>
      </c>
      <c r="M476" s="46" t="n">
        <v>1.25</v>
      </c>
      <c r="N476" s="17">
        <f>L476*M476</f>
        <v/>
      </c>
    </row>
    <row r="477" ht="19" customHeight="1">
      <c r="A477" s="43" t="inlineStr">
        <is>
          <t>27/09/2026</t>
        </is>
      </c>
      <c r="B477" s="43" t="inlineStr">
        <is>
          <t>Domingo</t>
        </is>
      </c>
      <c r="C477" s="43" t="inlineStr">
        <is>
          <t>Sucursal Central</t>
        </is>
      </c>
      <c r="D477" s="43" t="n">
        <v>60</v>
      </c>
      <c r="E477" s="43" t="inlineStr">
        <is>
          <t>Reposteria</t>
        </is>
      </c>
      <c r="F477" s="44" t="inlineStr">
        <is>
          <t>Cubilete de Vainilla</t>
        </is>
      </c>
      <c r="G477" s="43" t="n">
        <v>30</v>
      </c>
      <c r="H477" s="45" t="n"/>
      <c r="I477" s="45">
        <f>IF(H477&gt;0, H477*G477, "")</f>
        <v/>
      </c>
      <c r="J477" s="45" t="n"/>
      <c r="K477" s="45" t="n">
        <v>0</v>
      </c>
      <c r="L477" s="25">
        <f>IF(I477&gt;0, MAX(0, I477-J477-K477), 0)</f>
        <v/>
      </c>
      <c r="M477" s="46" t="n">
        <v>2</v>
      </c>
      <c r="N477" s="17">
        <f>L477*M477</f>
        <v/>
      </c>
    </row>
    <row r="478" ht="19" customHeight="1">
      <c r="A478" s="43" t="inlineStr">
        <is>
          <t>27/09/2026</t>
        </is>
      </c>
      <c r="B478" s="43" t="inlineStr">
        <is>
          <t>Domingo</t>
        </is>
      </c>
      <c r="C478" s="43" t="inlineStr">
        <is>
          <t>Sucursal Central</t>
        </is>
      </c>
      <c r="D478" s="43" t="n">
        <v>61</v>
      </c>
      <c r="E478" s="43" t="inlineStr">
        <is>
          <t>Reposteria</t>
        </is>
      </c>
      <c r="F478" s="44" t="inlineStr">
        <is>
          <t>Cubilete de Banano</t>
        </is>
      </c>
      <c r="G478" s="43" t="n">
        <v>30</v>
      </c>
      <c r="H478" s="45" t="n"/>
      <c r="I478" s="45">
        <f>IF(H478&gt;0, H478*G478, "")</f>
        <v/>
      </c>
      <c r="J478" s="45" t="n"/>
      <c r="K478" s="45" t="n">
        <v>0</v>
      </c>
      <c r="L478" s="25">
        <f>IF(I478&gt;0, MAX(0, I478-J478-K478), 0)</f>
        <v/>
      </c>
      <c r="M478" s="46" t="n">
        <v>2</v>
      </c>
      <c r="N478" s="17">
        <f>L478*M478</f>
        <v/>
      </c>
    </row>
    <row r="479" ht="19" customHeight="1">
      <c r="A479" s="43" t="inlineStr">
        <is>
          <t>27/09/2026</t>
        </is>
      </c>
      <c r="B479" s="43" t="inlineStr">
        <is>
          <t>Domingo</t>
        </is>
      </c>
      <c r="C479" s="43" t="inlineStr">
        <is>
          <t>Sucursal Central</t>
        </is>
      </c>
      <c r="D479" s="43" t="n">
        <v>62</v>
      </c>
      <c r="E479" s="43" t="inlineStr">
        <is>
          <t>Reposteria</t>
        </is>
      </c>
      <c r="F479" s="44" t="inlineStr">
        <is>
          <t>Empanada de Piña</t>
        </is>
      </c>
      <c r="G479" s="43" t="n">
        <v>16</v>
      </c>
      <c r="H479" s="45" t="n"/>
      <c r="I479" s="45">
        <f>IF(H479&gt;0, H479*G479, "")</f>
        <v/>
      </c>
      <c r="J479" s="45" t="n"/>
      <c r="K479" s="45" t="n">
        <v>0</v>
      </c>
      <c r="L479" s="25">
        <f>IF(I479&gt;0, MAX(0, I479-J479-K479), 0)</f>
        <v/>
      </c>
      <c r="M479" s="46" t="n">
        <v>2.5</v>
      </c>
      <c r="N479" s="17">
        <f>L479*M479</f>
        <v/>
      </c>
    </row>
    <row r="480" ht="19" customHeight="1">
      <c r="A480" s="43" t="inlineStr">
        <is>
          <t>27/09/2026</t>
        </is>
      </c>
      <c r="B480" s="43" t="inlineStr">
        <is>
          <t>Domingo</t>
        </is>
      </c>
      <c r="C480" s="43" t="inlineStr">
        <is>
          <t>Sucursal Central</t>
        </is>
      </c>
      <c r="D480" s="43" t="n">
        <v>63</v>
      </c>
      <c r="E480" s="43" t="inlineStr">
        <is>
          <t>Reposteria</t>
        </is>
      </c>
      <c r="F480" s="44" t="inlineStr">
        <is>
          <t>Empanada de Manjar</t>
        </is>
      </c>
      <c r="G480" s="43" t="n">
        <v>16</v>
      </c>
      <c r="H480" s="45" t="n"/>
      <c r="I480" s="45">
        <f>IF(H480&gt;0, H480*G480, "")</f>
        <v/>
      </c>
      <c r="J480" s="45" t="n"/>
      <c r="K480" s="45" t="n">
        <v>0</v>
      </c>
      <c r="L480" s="25">
        <f>IF(I480&gt;0, MAX(0, I480-J480-K480), 0)</f>
        <v/>
      </c>
      <c r="M480" s="46" t="n">
        <v>2.5</v>
      </c>
      <c r="N480" s="17">
        <f>L480*M480</f>
        <v/>
      </c>
    </row>
    <row r="481" ht="19" customHeight="1">
      <c r="A481" s="43" t="inlineStr">
        <is>
          <t>27/09/2026</t>
        </is>
      </c>
      <c r="B481" s="43" t="inlineStr">
        <is>
          <t>Domingo</t>
        </is>
      </c>
      <c r="C481" s="43" t="inlineStr">
        <is>
          <t>Sucursal Central</t>
        </is>
      </c>
      <c r="D481" s="43" t="n">
        <v>64</v>
      </c>
      <c r="E481" s="43" t="inlineStr">
        <is>
          <t>Galletas</t>
        </is>
      </c>
      <c r="F481" s="44" t="inlineStr">
        <is>
          <t>Polvorosa Tradicional</t>
        </is>
      </c>
      <c r="G481" s="43" t="n">
        <v>15</v>
      </c>
      <c r="H481" s="45" t="n"/>
      <c r="I481" s="45">
        <f>IF(H481&gt;0, H481*G481, "")</f>
        <v/>
      </c>
      <c r="J481" s="45" t="n"/>
      <c r="K481" s="45" t="n">
        <v>0</v>
      </c>
      <c r="L481" s="25">
        <f>IF(I481&gt;0, MAX(0, I481-J481-K481), 0)</f>
        <v/>
      </c>
      <c r="M481" s="46" t="n">
        <v>1.25</v>
      </c>
      <c r="N481" s="17">
        <f>L481*M481</f>
        <v/>
      </c>
    </row>
    <row r="482" ht="19" customHeight="1">
      <c r="A482" s="43" t="inlineStr">
        <is>
          <t>27/09/2026</t>
        </is>
      </c>
      <c r="B482" s="43" t="inlineStr">
        <is>
          <t>Domingo</t>
        </is>
      </c>
      <c r="C482" s="43" t="inlineStr">
        <is>
          <t>Sucursal Central</t>
        </is>
      </c>
      <c r="D482" s="43" t="n">
        <v>65</v>
      </c>
      <c r="E482" s="43" t="inlineStr">
        <is>
          <t>Donas</t>
        </is>
      </c>
      <c r="F482" s="44" t="inlineStr">
        <is>
          <t>Dona Simple Glaseada</t>
        </is>
      </c>
      <c r="G482" s="43" t="n">
        <v>24</v>
      </c>
      <c r="H482" s="45" t="n"/>
      <c r="I482" s="45">
        <f>IF(H482&gt;0, H482*G482, "")</f>
        <v/>
      </c>
      <c r="J482" s="45" t="n"/>
      <c r="K482" s="45" t="n">
        <v>0</v>
      </c>
      <c r="L482" s="25">
        <f>IF(I482&gt;0, MAX(0, I482-J482-K482), 0)</f>
        <v/>
      </c>
      <c r="M482" s="46" t="n">
        <v>2.5</v>
      </c>
      <c r="N482" s="17">
        <f>L482*M482</f>
        <v/>
      </c>
    </row>
    <row r="483" ht="19" customHeight="1">
      <c r="A483" s="43" t="inlineStr">
        <is>
          <t>27/09/2026</t>
        </is>
      </c>
      <c r="B483" s="43" t="inlineStr">
        <is>
          <t>Domingo</t>
        </is>
      </c>
      <c r="C483" s="43" t="inlineStr">
        <is>
          <t>Sucursal Central</t>
        </is>
      </c>
      <c r="D483" s="43" t="n">
        <v>66</v>
      </c>
      <c r="E483" s="43" t="inlineStr">
        <is>
          <t>Donas</t>
        </is>
      </c>
      <c r="F483" s="44" t="inlineStr">
        <is>
          <t>Dona Rellena de Manjar</t>
        </is>
      </c>
      <c r="G483" s="43" t="n">
        <v>24</v>
      </c>
      <c r="H483" s="45" t="n"/>
      <c r="I483" s="45">
        <f>IF(H483&gt;0, H483*G483, "")</f>
        <v/>
      </c>
      <c r="J483" s="45" t="n"/>
      <c r="K483" s="45" t="n">
        <v>0</v>
      </c>
      <c r="L483" s="25">
        <f>IF(I483&gt;0, MAX(0, I483-J483-K483), 0)</f>
        <v/>
      </c>
      <c r="M483" s="46" t="n">
        <v>4</v>
      </c>
      <c r="N483" s="17">
        <f>L483*M483</f>
        <v/>
      </c>
    </row>
    <row r="484" ht="19" customHeight="1">
      <c r="A484" s="43" t="inlineStr">
        <is>
          <t>27/09/2026</t>
        </is>
      </c>
      <c r="B484" s="43" t="inlineStr">
        <is>
          <t>Domingo</t>
        </is>
      </c>
      <c r="C484" s="43" t="inlineStr">
        <is>
          <t>Sucursal Central</t>
        </is>
      </c>
      <c r="D484" s="43" t="n">
        <v>67</v>
      </c>
      <c r="E484" s="43" t="inlineStr">
        <is>
          <t>Donas</t>
        </is>
      </c>
      <c r="F484" s="44" t="inlineStr">
        <is>
          <t>Dona Rellena de Fresa</t>
        </is>
      </c>
      <c r="G484" s="43" t="n">
        <v>24</v>
      </c>
      <c r="H484" s="45" t="n"/>
      <c r="I484" s="45">
        <f>IF(H484&gt;0, H484*G484, "")</f>
        <v/>
      </c>
      <c r="J484" s="45" t="n"/>
      <c r="K484" s="45" t="n">
        <v>0</v>
      </c>
      <c r="L484" s="25">
        <f>IF(I484&gt;0, MAX(0, I484-J484-K484), 0)</f>
        <v/>
      </c>
      <c r="M484" s="46" t="n">
        <v>4</v>
      </c>
      <c r="N484" s="17">
        <f>L484*M484</f>
        <v/>
      </c>
    </row>
    <row r="485" ht="19" customHeight="1">
      <c r="A485" s="43" t="inlineStr">
        <is>
          <t>27/09/2026</t>
        </is>
      </c>
      <c r="B485" s="43" t="inlineStr">
        <is>
          <t>Domingo</t>
        </is>
      </c>
      <c r="C485" s="43" t="inlineStr">
        <is>
          <t>Sucursal Central</t>
        </is>
      </c>
      <c r="D485" s="43" t="n">
        <v>68</v>
      </c>
      <c r="E485" s="43" t="inlineStr">
        <is>
          <t>Pan Dulce</t>
        </is>
      </c>
      <c r="F485" s="44" t="inlineStr">
        <is>
          <t>Campechana</t>
        </is>
      </c>
      <c r="G485" s="43" t="n">
        <v>20</v>
      </c>
      <c r="H485" s="45" t="n"/>
      <c r="I485" s="45">
        <f>IF(H485&gt;0, H485*G485, "")</f>
        <v/>
      </c>
      <c r="J485" s="45" t="n"/>
      <c r="K485" s="45" t="n">
        <v>0</v>
      </c>
      <c r="L485" s="25">
        <f>IF(I485&gt;0, MAX(0, I485-J485-K485), 0)</f>
        <v/>
      </c>
      <c r="M485" s="46" t="n">
        <v>1.25</v>
      </c>
      <c r="N485" s="17">
        <f>L485*M485</f>
        <v/>
      </c>
    </row>
    <row r="486" ht="19" customHeight="1">
      <c r="A486" s="43" t="inlineStr">
        <is>
          <t>27/09/2026</t>
        </is>
      </c>
      <c r="B486" s="43" t="inlineStr">
        <is>
          <t>Domingo</t>
        </is>
      </c>
      <c r="C486" s="43" t="inlineStr">
        <is>
          <t>Sucursal Central</t>
        </is>
      </c>
      <c r="D486" s="43" t="n">
        <v>69</v>
      </c>
      <c r="E486" s="43" t="inlineStr">
        <is>
          <t>Pan Dulce</t>
        </is>
      </c>
      <c r="F486" s="44" t="inlineStr">
        <is>
          <t>Pasitas</t>
        </is>
      </c>
      <c r="G486" s="43" t="n">
        <v>30</v>
      </c>
      <c r="H486" s="45" t="n"/>
      <c r="I486" s="45">
        <f>IF(H486&gt;0, H486*G486, "")</f>
        <v/>
      </c>
      <c r="J486" s="45" t="n"/>
      <c r="K486" s="45" t="n">
        <v>0</v>
      </c>
      <c r="L486" s="25">
        <f>IF(I486&gt;0, MAX(0, I486-J486-K486), 0)</f>
        <v/>
      </c>
      <c r="M486" s="46" t="n">
        <v>0.75</v>
      </c>
      <c r="N486" s="17">
        <f>L486*M486</f>
        <v/>
      </c>
    </row>
    <row r="487" ht="19" customHeight="1">
      <c r="A487" s="43" t="inlineStr">
        <is>
          <t>27/09/2026</t>
        </is>
      </c>
      <c r="B487" s="43" t="inlineStr">
        <is>
          <t>Domingo</t>
        </is>
      </c>
      <c r="C487" s="43" t="inlineStr">
        <is>
          <t>Sucursal Central</t>
        </is>
      </c>
      <c r="D487" s="43" t="n">
        <v>70</v>
      </c>
      <c r="E487" s="43" t="inlineStr">
        <is>
          <t>Reposteria</t>
        </is>
      </c>
      <c r="F487" s="44" t="inlineStr">
        <is>
          <t>Cortada de Fresa</t>
        </is>
      </c>
      <c r="G487" s="43" t="n">
        <v>14</v>
      </c>
      <c r="H487" s="45" t="n"/>
      <c r="I487" s="45">
        <f>IF(H487&gt;0, H487*G487, "")</f>
        <v/>
      </c>
      <c r="J487" s="45" t="n"/>
      <c r="K487" s="45" t="n">
        <v>0</v>
      </c>
      <c r="L487" s="25">
        <f>IF(I487&gt;0, MAX(0, I487-J487-K487), 0)</f>
        <v/>
      </c>
      <c r="M487" s="46" t="n">
        <v>2.5</v>
      </c>
      <c r="N487" s="17">
        <f>L487*M487</f>
        <v/>
      </c>
    </row>
    <row r="488" ht="19" customHeight="1">
      <c r="A488" s="43" t="inlineStr">
        <is>
          <t>27/09/2026</t>
        </is>
      </c>
      <c r="B488" s="43" t="inlineStr">
        <is>
          <t>Domingo</t>
        </is>
      </c>
      <c r="C488" s="43" t="inlineStr">
        <is>
          <t>Sucursal Central</t>
        </is>
      </c>
      <c r="D488" s="43" t="n">
        <v>71</v>
      </c>
      <c r="E488" s="43" t="inlineStr">
        <is>
          <t>Reposteria</t>
        </is>
      </c>
      <c r="F488" s="44" t="inlineStr">
        <is>
          <t>Cortada de Chocolate</t>
        </is>
      </c>
      <c r="G488" s="43" t="n">
        <v>14</v>
      </c>
      <c r="H488" s="45" t="n"/>
      <c r="I488" s="45">
        <f>IF(H488&gt;0, H488*G488, "")</f>
        <v/>
      </c>
      <c r="J488" s="45" t="n"/>
      <c r="K488" s="45" t="n">
        <v>0</v>
      </c>
      <c r="L488" s="25">
        <f>IF(I488&gt;0, MAX(0, I488-J488-K488), 0)</f>
        <v/>
      </c>
      <c r="M488" s="46" t="n">
        <v>2.5</v>
      </c>
      <c r="N488" s="17">
        <f>L488*M488</f>
        <v/>
      </c>
    </row>
    <row r="489" ht="19" customHeight="1">
      <c r="A489" s="37" t="inlineStr">
        <is>
          <t>28/09/2026</t>
        </is>
      </c>
      <c r="B489" s="37" t="inlineStr">
        <is>
          <t>Lunes</t>
        </is>
      </c>
      <c r="C489" s="37" t="inlineStr">
        <is>
          <t>Sucursal Central</t>
        </is>
      </c>
      <c r="D489" s="37" t="n">
        <v>54</v>
      </c>
      <c r="E489" s="37" t="inlineStr">
        <is>
          <t>Pan</t>
        </is>
      </c>
      <c r="F489" s="38" t="inlineStr">
        <is>
          <t>Pan Francés Tradicional</t>
        </is>
      </c>
      <c r="G489" s="37" t="n">
        <v>36</v>
      </c>
      <c r="H489" s="39" t="n"/>
      <c r="I489" s="39">
        <f>IF(H489&gt;0, H489*G489, "")</f>
        <v/>
      </c>
      <c r="J489" s="39" t="n"/>
      <c r="K489" s="39" t="n">
        <v>0</v>
      </c>
      <c r="L489" s="40">
        <f>IF(I489&gt;0, MAX(0, I489-J489-K489), 0)</f>
        <v/>
      </c>
      <c r="M489" s="41" t="n">
        <v>0.5</v>
      </c>
      <c r="N489" s="42">
        <f>L489*M489</f>
        <v/>
      </c>
    </row>
    <row r="490" ht="19" customHeight="1">
      <c r="A490" s="37" t="inlineStr">
        <is>
          <t>28/09/2026</t>
        </is>
      </c>
      <c r="B490" s="37" t="inlineStr">
        <is>
          <t>Lunes</t>
        </is>
      </c>
      <c r="C490" s="37" t="inlineStr">
        <is>
          <t>Sucursal Central</t>
        </is>
      </c>
      <c r="D490" s="37" t="n">
        <v>55</v>
      </c>
      <c r="E490" s="37" t="inlineStr">
        <is>
          <t>Pan Dulce</t>
        </is>
      </c>
      <c r="F490" s="38" t="inlineStr">
        <is>
          <t>Pan Dulce Pequeño</t>
        </is>
      </c>
      <c r="G490" s="37" t="n">
        <v>40</v>
      </c>
      <c r="H490" s="39" t="n"/>
      <c r="I490" s="39">
        <f>IF(H490&gt;0, H490*G490, "")</f>
        <v/>
      </c>
      <c r="J490" s="39" t="n"/>
      <c r="K490" s="39" t="n">
        <v>0</v>
      </c>
      <c r="L490" s="40">
        <f>IF(I490&gt;0, MAX(0, I490-J490-K490), 0)</f>
        <v/>
      </c>
      <c r="M490" s="41" t="n">
        <v>0.5</v>
      </c>
      <c r="N490" s="42">
        <f>L490*M490</f>
        <v/>
      </c>
    </row>
    <row r="491" ht="19" customHeight="1">
      <c r="A491" s="37" t="inlineStr">
        <is>
          <t>28/09/2026</t>
        </is>
      </c>
      <c r="B491" s="37" t="inlineStr">
        <is>
          <t>Lunes</t>
        </is>
      </c>
      <c r="C491" s="37" t="inlineStr">
        <is>
          <t>Sucursal Central</t>
        </is>
      </c>
      <c r="D491" s="37" t="n">
        <v>56</v>
      </c>
      <c r="E491" s="37" t="inlineStr">
        <is>
          <t>Pan Dulce</t>
        </is>
      </c>
      <c r="F491" s="38" t="inlineStr">
        <is>
          <t>Pan Dulce Grande</t>
        </is>
      </c>
      <c r="G491" s="37" t="n">
        <v>20</v>
      </c>
      <c r="H491" s="39" t="n"/>
      <c r="I491" s="39">
        <f>IF(H491&gt;0, H491*G491, "")</f>
        <v/>
      </c>
      <c r="J491" s="39" t="n"/>
      <c r="K491" s="39" t="n">
        <v>0</v>
      </c>
      <c r="L491" s="40">
        <f>IF(I491&gt;0, MAX(0, I491-J491-K491), 0)</f>
        <v/>
      </c>
      <c r="M491" s="41" t="n">
        <v>1.25</v>
      </c>
      <c r="N491" s="42">
        <f>L491*M491</f>
        <v/>
      </c>
    </row>
    <row r="492" ht="19" customHeight="1">
      <c r="A492" s="37" t="inlineStr">
        <is>
          <t>28/09/2026</t>
        </is>
      </c>
      <c r="B492" s="37" t="inlineStr">
        <is>
          <t>Lunes</t>
        </is>
      </c>
      <c r="C492" s="37" t="inlineStr">
        <is>
          <t>Sucursal Central</t>
        </is>
      </c>
      <c r="D492" s="37" t="n">
        <v>57</v>
      </c>
      <c r="E492" s="37" t="inlineStr">
        <is>
          <t>Galletas</t>
        </is>
      </c>
      <c r="F492" s="38" t="inlineStr">
        <is>
          <t>Pan Galleta</t>
        </is>
      </c>
      <c r="G492" s="37" t="n">
        <v>20</v>
      </c>
      <c r="H492" s="39" t="n"/>
      <c r="I492" s="39">
        <f>IF(H492&gt;0, H492*G492, "")</f>
        <v/>
      </c>
      <c r="J492" s="39" t="n"/>
      <c r="K492" s="39" t="n">
        <v>0</v>
      </c>
      <c r="L492" s="40">
        <f>IF(I492&gt;0, MAX(0, I492-J492-K492), 0)</f>
        <v/>
      </c>
      <c r="M492" s="41" t="n">
        <v>1.25</v>
      </c>
      <c r="N492" s="42">
        <f>L492*M492</f>
        <v/>
      </c>
    </row>
    <row r="493" ht="19" customHeight="1">
      <c r="A493" s="37" t="inlineStr">
        <is>
          <t>28/09/2026</t>
        </is>
      </c>
      <c r="B493" s="37" t="inlineStr">
        <is>
          <t>Lunes</t>
        </is>
      </c>
      <c r="C493" s="37" t="inlineStr">
        <is>
          <t>Sucursal Central</t>
        </is>
      </c>
      <c r="D493" s="37" t="n">
        <v>58</v>
      </c>
      <c r="E493" s="37" t="inlineStr">
        <is>
          <t>Galletas</t>
        </is>
      </c>
      <c r="F493" s="38" t="inlineStr">
        <is>
          <t>Champurrada Pequeña</t>
        </is>
      </c>
      <c r="G493" s="37" t="n">
        <v>24</v>
      </c>
      <c r="H493" s="39" t="n"/>
      <c r="I493" s="39">
        <f>IF(H493&gt;0, H493*G493, "")</f>
        <v/>
      </c>
      <c r="J493" s="39" t="n"/>
      <c r="K493" s="39" t="n">
        <v>0</v>
      </c>
      <c r="L493" s="40">
        <f>IF(I493&gt;0, MAX(0, I493-J493-K493), 0)</f>
        <v/>
      </c>
      <c r="M493" s="41" t="n">
        <v>0.5</v>
      </c>
      <c r="N493" s="42">
        <f>L493*M493</f>
        <v/>
      </c>
    </row>
    <row r="494" ht="19" customHeight="1">
      <c r="A494" s="37" t="inlineStr">
        <is>
          <t>28/09/2026</t>
        </is>
      </c>
      <c r="B494" s="37" t="inlineStr">
        <is>
          <t>Lunes</t>
        </is>
      </c>
      <c r="C494" s="37" t="inlineStr">
        <is>
          <t>Sucursal Central</t>
        </is>
      </c>
      <c r="D494" s="37" t="n">
        <v>59</v>
      </c>
      <c r="E494" s="37" t="inlineStr">
        <is>
          <t>Galletas</t>
        </is>
      </c>
      <c r="F494" s="38" t="inlineStr">
        <is>
          <t>Champurrada Grande</t>
        </is>
      </c>
      <c r="G494" s="37" t="n">
        <v>15</v>
      </c>
      <c r="H494" s="39" t="n"/>
      <c r="I494" s="39">
        <f>IF(H494&gt;0, H494*G494, "")</f>
        <v/>
      </c>
      <c r="J494" s="39" t="n"/>
      <c r="K494" s="39" t="n">
        <v>0</v>
      </c>
      <c r="L494" s="40">
        <f>IF(I494&gt;0, MAX(0, I494-J494-K494), 0)</f>
        <v/>
      </c>
      <c r="M494" s="41" t="n">
        <v>1.25</v>
      </c>
      <c r="N494" s="42">
        <f>L494*M494</f>
        <v/>
      </c>
    </row>
    <row r="495" ht="19" customHeight="1">
      <c r="A495" s="37" t="inlineStr">
        <is>
          <t>28/09/2026</t>
        </is>
      </c>
      <c r="B495" s="37" t="inlineStr">
        <is>
          <t>Lunes</t>
        </is>
      </c>
      <c r="C495" s="37" t="inlineStr">
        <is>
          <t>Sucursal Central</t>
        </is>
      </c>
      <c r="D495" s="37" t="n">
        <v>60</v>
      </c>
      <c r="E495" s="37" t="inlineStr">
        <is>
          <t>Reposteria</t>
        </is>
      </c>
      <c r="F495" s="38" t="inlineStr">
        <is>
          <t>Cubilete de Vainilla</t>
        </is>
      </c>
      <c r="G495" s="37" t="n">
        <v>30</v>
      </c>
      <c r="H495" s="39" t="n"/>
      <c r="I495" s="39">
        <f>IF(H495&gt;0, H495*G495, "")</f>
        <v/>
      </c>
      <c r="J495" s="39" t="n"/>
      <c r="K495" s="39" t="n">
        <v>0</v>
      </c>
      <c r="L495" s="40">
        <f>IF(I495&gt;0, MAX(0, I495-J495-K495), 0)</f>
        <v/>
      </c>
      <c r="M495" s="41" t="n">
        <v>2</v>
      </c>
      <c r="N495" s="42">
        <f>L495*M495</f>
        <v/>
      </c>
    </row>
    <row r="496" ht="19" customHeight="1">
      <c r="A496" s="37" t="inlineStr">
        <is>
          <t>28/09/2026</t>
        </is>
      </c>
      <c r="B496" s="37" t="inlineStr">
        <is>
          <t>Lunes</t>
        </is>
      </c>
      <c r="C496" s="37" t="inlineStr">
        <is>
          <t>Sucursal Central</t>
        </is>
      </c>
      <c r="D496" s="37" t="n">
        <v>61</v>
      </c>
      <c r="E496" s="37" t="inlineStr">
        <is>
          <t>Reposteria</t>
        </is>
      </c>
      <c r="F496" s="38" t="inlineStr">
        <is>
          <t>Cubilete de Banano</t>
        </is>
      </c>
      <c r="G496" s="37" t="n">
        <v>30</v>
      </c>
      <c r="H496" s="39" t="n"/>
      <c r="I496" s="39">
        <f>IF(H496&gt;0, H496*G496, "")</f>
        <v/>
      </c>
      <c r="J496" s="39" t="n"/>
      <c r="K496" s="39" t="n">
        <v>0</v>
      </c>
      <c r="L496" s="40">
        <f>IF(I496&gt;0, MAX(0, I496-J496-K496), 0)</f>
        <v/>
      </c>
      <c r="M496" s="41" t="n">
        <v>2</v>
      </c>
      <c r="N496" s="42">
        <f>L496*M496</f>
        <v/>
      </c>
    </row>
    <row r="497" ht="19" customHeight="1">
      <c r="A497" s="37" t="inlineStr">
        <is>
          <t>28/09/2026</t>
        </is>
      </c>
      <c r="B497" s="37" t="inlineStr">
        <is>
          <t>Lunes</t>
        </is>
      </c>
      <c r="C497" s="37" t="inlineStr">
        <is>
          <t>Sucursal Central</t>
        </is>
      </c>
      <c r="D497" s="37" t="n">
        <v>62</v>
      </c>
      <c r="E497" s="37" t="inlineStr">
        <is>
          <t>Reposteria</t>
        </is>
      </c>
      <c r="F497" s="38" t="inlineStr">
        <is>
          <t>Empanada de Piña</t>
        </is>
      </c>
      <c r="G497" s="37" t="n">
        <v>16</v>
      </c>
      <c r="H497" s="39" t="n"/>
      <c r="I497" s="39">
        <f>IF(H497&gt;0, H497*G497, "")</f>
        <v/>
      </c>
      <c r="J497" s="39" t="n"/>
      <c r="K497" s="39" t="n">
        <v>0</v>
      </c>
      <c r="L497" s="40">
        <f>IF(I497&gt;0, MAX(0, I497-J497-K497), 0)</f>
        <v/>
      </c>
      <c r="M497" s="41" t="n">
        <v>2.5</v>
      </c>
      <c r="N497" s="42">
        <f>L497*M497</f>
        <v/>
      </c>
    </row>
    <row r="498" ht="19" customHeight="1">
      <c r="A498" s="37" t="inlineStr">
        <is>
          <t>28/09/2026</t>
        </is>
      </c>
      <c r="B498" s="37" t="inlineStr">
        <is>
          <t>Lunes</t>
        </is>
      </c>
      <c r="C498" s="37" t="inlineStr">
        <is>
          <t>Sucursal Central</t>
        </is>
      </c>
      <c r="D498" s="37" t="n">
        <v>63</v>
      </c>
      <c r="E498" s="37" t="inlineStr">
        <is>
          <t>Reposteria</t>
        </is>
      </c>
      <c r="F498" s="38" t="inlineStr">
        <is>
          <t>Empanada de Manjar</t>
        </is>
      </c>
      <c r="G498" s="37" t="n">
        <v>16</v>
      </c>
      <c r="H498" s="39" t="n"/>
      <c r="I498" s="39">
        <f>IF(H498&gt;0, H498*G498, "")</f>
        <v/>
      </c>
      <c r="J498" s="39" t="n"/>
      <c r="K498" s="39" t="n">
        <v>0</v>
      </c>
      <c r="L498" s="40">
        <f>IF(I498&gt;0, MAX(0, I498-J498-K498), 0)</f>
        <v/>
      </c>
      <c r="M498" s="41" t="n">
        <v>2.5</v>
      </c>
      <c r="N498" s="42">
        <f>L498*M498</f>
        <v/>
      </c>
    </row>
    <row r="499" ht="19" customHeight="1">
      <c r="A499" s="37" t="inlineStr">
        <is>
          <t>28/09/2026</t>
        </is>
      </c>
      <c r="B499" s="37" t="inlineStr">
        <is>
          <t>Lunes</t>
        </is>
      </c>
      <c r="C499" s="37" t="inlineStr">
        <is>
          <t>Sucursal Central</t>
        </is>
      </c>
      <c r="D499" s="37" t="n">
        <v>64</v>
      </c>
      <c r="E499" s="37" t="inlineStr">
        <is>
          <t>Galletas</t>
        </is>
      </c>
      <c r="F499" s="38" t="inlineStr">
        <is>
          <t>Polvorosa Tradicional</t>
        </is>
      </c>
      <c r="G499" s="37" t="n">
        <v>15</v>
      </c>
      <c r="H499" s="39" t="n"/>
      <c r="I499" s="39">
        <f>IF(H499&gt;0, H499*G499, "")</f>
        <v/>
      </c>
      <c r="J499" s="39" t="n"/>
      <c r="K499" s="39" t="n">
        <v>0</v>
      </c>
      <c r="L499" s="40">
        <f>IF(I499&gt;0, MAX(0, I499-J499-K499), 0)</f>
        <v/>
      </c>
      <c r="M499" s="41" t="n">
        <v>1.25</v>
      </c>
      <c r="N499" s="42">
        <f>L499*M499</f>
        <v/>
      </c>
    </row>
    <row r="500" ht="19" customHeight="1">
      <c r="A500" s="37" t="inlineStr">
        <is>
          <t>28/09/2026</t>
        </is>
      </c>
      <c r="B500" s="37" t="inlineStr">
        <is>
          <t>Lunes</t>
        </is>
      </c>
      <c r="C500" s="37" t="inlineStr">
        <is>
          <t>Sucursal Central</t>
        </is>
      </c>
      <c r="D500" s="37" t="n">
        <v>65</v>
      </c>
      <c r="E500" s="37" t="inlineStr">
        <is>
          <t>Donas</t>
        </is>
      </c>
      <c r="F500" s="38" t="inlineStr">
        <is>
          <t>Dona Simple Glaseada</t>
        </is>
      </c>
      <c r="G500" s="37" t="n">
        <v>24</v>
      </c>
      <c r="H500" s="39" t="n"/>
      <c r="I500" s="39">
        <f>IF(H500&gt;0, H500*G500, "")</f>
        <v/>
      </c>
      <c r="J500" s="39" t="n"/>
      <c r="K500" s="39" t="n">
        <v>0</v>
      </c>
      <c r="L500" s="40">
        <f>IF(I500&gt;0, MAX(0, I500-J500-K500), 0)</f>
        <v/>
      </c>
      <c r="M500" s="41" t="n">
        <v>2.5</v>
      </c>
      <c r="N500" s="42">
        <f>L500*M500</f>
        <v/>
      </c>
    </row>
    <row r="501" ht="19" customHeight="1">
      <c r="A501" s="37" t="inlineStr">
        <is>
          <t>28/09/2026</t>
        </is>
      </c>
      <c r="B501" s="37" t="inlineStr">
        <is>
          <t>Lunes</t>
        </is>
      </c>
      <c r="C501" s="37" t="inlineStr">
        <is>
          <t>Sucursal Central</t>
        </is>
      </c>
      <c r="D501" s="37" t="n">
        <v>66</v>
      </c>
      <c r="E501" s="37" t="inlineStr">
        <is>
          <t>Donas</t>
        </is>
      </c>
      <c r="F501" s="38" t="inlineStr">
        <is>
          <t>Dona Rellena de Manjar</t>
        </is>
      </c>
      <c r="G501" s="37" t="n">
        <v>24</v>
      </c>
      <c r="H501" s="39" t="n"/>
      <c r="I501" s="39">
        <f>IF(H501&gt;0, H501*G501, "")</f>
        <v/>
      </c>
      <c r="J501" s="39" t="n"/>
      <c r="K501" s="39" t="n">
        <v>0</v>
      </c>
      <c r="L501" s="40">
        <f>IF(I501&gt;0, MAX(0, I501-J501-K501), 0)</f>
        <v/>
      </c>
      <c r="M501" s="41" t="n">
        <v>4</v>
      </c>
      <c r="N501" s="42">
        <f>L501*M501</f>
        <v/>
      </c>
    </row>
    <row r="502" ht="19" customHeight="1">
      <c r="A502" s="37" t="inlineStr">
        <is>
          <t>28/09/2026</t>
        </is>
      </c>
      <c r="B502" s="37" t="inlineStr">
        <is>
          <t>Lunes</t>
        </is>
      </c>
      <c r="C502" s="37" t="inlineStr">
        <is>
          <t>Sucursal Central</t>
        </is>
      </c>
      <c r="D502" s="37" t="n">
        <v>67</v>
      </c>
      <c r="E502" s="37" t="inlineStr">
        <is>
          <t>Donas</t>
        </is>
      </c>
      <c r="F502" s="38" t="inlineStr">
        <is>
          <t>Dona Rellena de Fresa</t>
        </is>
      </c>
      <c r="G502" s="37" t="n">
        <v>24</v>
      </c>
      <c r="H502" s="39" t="n"/>
      <c r="I502" s="39">
        <f>IF(H502&gt;0, H502*G502, "")</f>
        <v/>
      </c>
      <c r="J502" s="39" t="n"/>
      <c r="K502" s="39" t="n">
        <v>0</v>
      </c>
      <c r="L502" s="40">
        <f>IF(I502&gt;0, MAX(0, I502-J502-K502), 0)</f>
        <v/>
      </c>
      <c r="M502" s="41" t="n">
        <v>4</v>
      </c>
      <c r="N502" s="42">
        <f>L502*M502</f>
        <v/>
      </c>
    </row>
    <row r="503" ht="19" customHeight="1">
      <c r="A503" s="37" t="inlineStr">
        <is>
          <t>28/09/2026</t>
        </is>
      </c>
      <c r="B503" s="37" t="inlineStr">
        <is>
          <t>Lunes</t>
        </is>
      </c>
      <c r="C503" s="37" t="inlineStr">
        <is>
          <t>Sucursal Central</t>
        </is>
      </c>
      <c r="D503" s="37" t="n">
        <v>68</v>
      </c>
      <c r="E503" s="37" t="inlineStr">
        <is>
          <t>Pan Dulce</t>
        </is>
      </c>
      <c r="F503" s="38" t="inlineStr">
        <is>
          <t>Campechana</t>
        </is>
      </c>
      <c r="G503" s="37" t="n">
        <v>20</v>
      </c>
      <c r="H503" s="39" t="n"/>
      <c r="I503" s="39">
        <f>IF(H503&gt;0, H503*G503, "")</f>
        <v/>
      </c>
      <c r="J503" s="39" t="n"/>
      <c r="K503" s="39" t="n">
        <v>0</v>
      </c>
      <c r="L503" s="40">
        <f>IF(I503&gt;0, MAX(0, I503-J503-K503), 0)</f>
        <v/>
      </c>
      <c r="M503" s="41" t="n">
        <v>1.25</v>
      </c>
      <c r="N503" s="42">
        <f>L503*M503</f>
        <v/>
      </c>
    </row>
    <row r="504" ht="19" customHeight="1">
      <c r="A504" s="37" t="inlineStr">
        <is>
          <t>28/09/2026</t>
        </is>
      </c>
      <c r="B504" s="37" t="inlineStr">
        <is>
          <t>Lunes</t>
        </is>
      </c>
      <c r="C504" s="37" t="inlineStr">
        <is>
          <t>Sucursal Central</t>
        </is>
      </c>
      <c r="D504" s="37" t="n">
        <v>69</v>
      </c>
      <c r="E504" s="37" t="inlineStr">
        <is>
          <t>Pan Dulce</t>
        </is>
      </c>
      <c r="F504" s="38" t="inlineStr">
        <is>
          <t>Pasitas</t>
        </is>
      </c>
      <c r="G504" s="37" t="n">
        <v>30</v>
      </c>
      <c r="H504" s="39" t="n"/>
      <c r="I504" s="39">
        <f>IF(H504&gt;0, H504*G504, "")</f>
        <v/>
      </c>
      <c r="J504" s="39" t="n"/>
      <c r="K504" s="39" t="n">
        <v>0</v>
      </c>
      <c r="L504" s="40">
        <f>IF(I504&gt;0, MAX(0, I504-J504-K504), 0)</f>
        <v/>
      </c>
      <c r="M504" s="41" t="n">
        <v>0.75</v>
      </c>
      <c r="N504" s="42">
        <f>L504*M504</f>
        <v/>
      </c>
    </row>
    <row r="505" ht="19" customHeight="1">
      <c r="A505" s="37" t="inlineStr">
        <is>
          <t>28/09/2026</t>
        </is>
      </c>
      <c r="B505" s="37" t="inlineStr">
        <is>
          <t>Lunes</t>
        </is>
      </c>
      <c r="C505" s="37" t="inlineStr">
        <is>
          <t>Sucursal Central</t>
        </is>
      </c>
      <c r="D505" s="37" t="n">
        <v>70</v>
      </c>
      <c r="E505" s="37" t="inlineStr">
        <is>
          <t>Reposteria</t>
        </is>
      </c>
      <c r="F505" s="38" t="inlineStr">
        <is>
          <t>Cortada de Fresa</t>
        </is>
      </c>
      <c r="G505" s="37" t="n">
        <v>14</v>
      </c>
      <c r="H505" s="39" t="n"/>
      <c r="I505" s="39">
        <f>IF(H505&gt;0, H505*G505, "")</f>
        <v/>
      </c>
      <c r="J505" s="39" t="n"/>
      <c r="K505" s="39" t="n">
        <v>0</v>
      </c>
      <c r="L505" s="40">
        <f>IF(I505&gt;0, MAX(0, I505-J505-K505), 0)</f>
        <v/>
      </c>
      <c r="M505" s="41" t="n">
        <v>2.5</v>
      </c>
      <c r="N505" s="42">
        <f>L505*M505</f>
        <v/>
      </c>
    </row>
    <row r="506" ht="19" customHeight="1">
      <c r="A506" s="37" t="inlineStr">
        <is>
          <t>28/09/2026</t>
        </is>
      </c>
      <c r="B506" s="37" t="inlineStr">
        <is>
          <t>Lunes</t>
        </is>
      </c>
      <c r="C506" s="37" t="inlineStr">
        <is>
          <t>Sucursal Central</t>
        </is>
      </c>
      <c r="D506" s="37" t="n">
        <v>71</v>
      </c>
      <c r="E506" s="37" t="inlineStr">
        <is>
          <t>Reposteria</t>
        </is>
      </c>
      <c r="F506" s="38" t="inlineStr">
        <is>
          <t>Cortada de Chocolate</t>
        </is>
      </c>
      <c r="G506" s="37" t="n">
        <v>14</v>
      </c>
      <c r="H506" s="39" t="n"/>
      <c r="I506" s="39">
        <f>IF(H506&gt;0, H506*G506, "")</f>
        <v/>
      </c>
      <c r="J506" s="39" t="n"/>
      <c r="K506" s="39" t="n">
        <v>0</v>
      </c>
      <c r="L506" s="40">
        <f>IF(I506&gt;0, MAX(0, I506-J506-K506), 0)</f>
        <v/>
      </c>
      <c r="M506" s="41" t="n">
        <v>2.5</v>
      </c>
      <c r="N506" s="42">
        <f>L506*M506</f>
        <v/>
      </c>
    </row>
    <row r="507" ht="19" customHeight="1">
      <c r="A507" s="31" t="inlineStr">
        <is>
          <t>29/09/2026</t>
        </is>
      </c>
      <c r="B507" s="31" t="inlineStr">
        <is>
          <t>Martes</t>
        </is>
      </c>
      <c r="C507" s="31" t="inlineStr">
        <is>
          <t>Sucursal Central</t>
        </is>
      </c>
      <c r="D507" s="31" t="n">
        <v>54</v>
      </c>
      <c r="E507" s="31" t="inlineStr">
        <is>
          <t>Pan</t>
        </is>
      </c>
      <c r="F507" s="32" t="inlineStr">
        <is>
          <t>Pan Francés Tradicional</t>
        </is>
      </c>
      <c r="G507" s="31" t="n">
        <v>36</v>
      </c>
      <c r="H507" s="33" t="n"/>
      <c r="I507" s="33">
        <f>IF(H507&gt;0, H507*G507, "")</f>
        <v/>
      </c>
      <c r="J507" s="33" t="n"/>
      <c r="K507" s="33" t="n">
        <v>0</v>
      </c>
      <c r="L507" s="34">
        <f>IF(I507&gt;0, MAX(0, I507-J507-K507), 0)</f>
        <v/>
      </c>
      <c r="M507" s="35" t="n">
        <v>0.5</v>
      </c>
      <c r="N507" s="36">
        <f>L507*M507</f>
        <v/>
      </c>
    </row>
    <row r="508" ht="19" customHeight="1">
      <c r="A508" s="31" t="inlineStr">
        <is>
          <t>29/09/2026</t>
        </is>
      </c>
      <c r="B508" s="31" t="inlineStr">
        <is>
          <t>Martes</t>
        </is>
      </c>
      <c r="C508" s="31" t="inlineStr">
        <is>
          <t>Sucursal Central</t>
        </is>
      </c>
      <c r="D508" s="31" t="n">
        <v>55</v>
      </c>
      <c r="E508" s="31" t="inlineStr">
        <is>
          <t>Pan Dulce</t>
        </is>
      </c>
      <c r="F508" s="32" t="inlineStr">
        <is>
          <t>Pan Dulce Pequeño</t>
        </is>
      </c>
      <c r="G508" s="31" t="n">
        <v>40</v>
      </c>
      <c r="H508" s="33" t="n"/>
      <c r="I508" s="33">
        <f>IF(H508&gt;0, H508*G508, "")</f>
        <v/>
      </c>
      <c r="J508" s="33" t="n"/>
      <c r="K508" s="33" t="n">
        <v>0</v>
      </c>
      <c r="L508" s="34">
        <f>IF(I508&gt;0, MAX(0, I508-J508-K508), 0)</f>
        <v/>
      </c>
      <c r="M508" s="35" t="n">
        <v>0.5</v>
      </c>
      <c r="N508" s="36">
        <f>L508*M508</f>
        <v/>
      </c>
    </row>
    <row r="509" ht="19" customHeight="1">
      <c r="A509" s="31" t="inlineStr">
        <is>
          <t>29/09/2026</t>
        </is>
      </c>
      <c r="B509" s="31" t="inlineStr">
        <is>
          <t>Martes</t>
        </is>
      </c>
      <c r="C509" s="31" t="inlineStr">
        <is>
          <t>Sucursal Central</t>
        </is>
      </c>
      <c r="D509" s="31" t="n">
        <v>56</v>
      </c>
      <c r="E509" s="31" t="inlineStr">
        <is>
          <t>Pan Dulce</t>
        </is>
      </c>
      <c r="F509" s="32" t="inlineStr">
        <is>
          <t>Pan Dulce Grande</t>
        </is>
      </c>
      <c r="G509" s="31" t="n">
        <v>20</v>
      </c>
      <c r="H509" s="33" t="n"/>
      <c r="I509" s="33">
        <f>IF(H509&gt;0, H509*G509, "")</f>
        <v/>
      </c>
      <c r="J509" s="33" t="n"/>
      <c r="K509" s="33" t="n">
        <v>0</v>
      </c>
      <c r="L509" s="34">
        <f>IF(I509&gt;0, MAX(0, I509-J509-K509), 0)</f>
        <v/>
      </c>
      <c r="M509" s="35" t="n">
        <v>1.25</v>
      </c>
      <c r="N509" s="36">
        <f>L509*M509</f>
        <v/>
      </c>
    </row>
    <row r="510" ht="19" customHeight="1">
      <c r="A510" s="31" t="inlineStr">
        <is>
          <t>29/09/2026</t>
        </is>
      </c>
      <c r="B510" s="31" t="inlineStr">
        <is>
          <t>Martes</t>
        </is>
      </c>
      <c r="C510" s="31" t="inlineStr">
        <is>
          <t>Sucursal Central</t>
        </is>
      </c>
      <c r="D510" s="31" t="n">
        <v>57</v>
      </c>
      <c r="E510" s="31" t="inlineStr">
        <is>
          <t>Galletas</t>
        </is>
      </c>
      <c r="F510" s="32" t="inlineStr">
        <is>
          <t>Pan Galleta</t>
        </is>
      </c>
      <c r="G510" s="31" t="n">
        <v>20</v>
      </c>
      <c r="H510" s="33" t="n"/>
      <c r="I510" s="33">
        <f>IF(H510&gt;0, H510*G510, "")</f>
        <v/>
      </c>
      <c r="J510" s="33" t="n"/>
      <c r="K510" s="33" t="n">
        <v>0</v>
      </c>
      <c r="L510" s="34">
        <f>IF(I510&gt;0, MAX(0, I510-J510-K510), 0)</f>
        <v/>
      </c>
      <c r="M510" s="35" t="n">
        <v>1.25</v>
      </c>
      <c r="N510" s="36">
        <f>L510*M510</f>
        <v/>
      </c>
    </row>
    <row r="511" ht="19" customHeight="1">
      <c r="A511" s="31" t="inlineStr">
        <is>
          <t>29/09/2026</t>
        </is>
      </c>
      <c r="B511" s="31" t="inlineStr">
        <is>
          <t>Martes</t>
        </is>
      </c>
      <c r="C511" s="31" t="inlineStr">
        <is>
          <t>Sucursal Central</t>
        </is>
      </c>
      <c r="D511" s="31" t="n">
        <v>58</v>
      </c>
      <c r="E511" s="31" t="inlineStr">
        <is>
          <t>Galletas</t>
        </is>
      </c>
      <c r="F511" s="32" t="inlineStr">
        <is>
          <t>Champurrada Pequeña</t>
        </is>
      </c>
      <c r="G511" s="31" t="n">
        <v>24</v>
      </c>
      <c r="H511" s="33" t="n"/>
      <c r="I511" s="33">
        <f>IF(H511&gt;0, H511*G511, "")</f>
        <v/>
      </c>
      <c r="J511" s="33" t="n"/>
      <c r="K511" s="33" t="n">
        <v>0</v>
      </c>
      <c r="L511" s="34">
        <f>IF(I511&gt;0, MAX(0, I511-J511-K511), 0)</f>
        <v/>
      </c>
      <c r="M511" s="35" t="n">
        <v>0.5</v>
      </c>
      <c r="N511" s="36">
        <f>L511*M511</f>
        <v/>
      </c>
    </row>
    <row r="512" ht="19" customHeight="1">
      <c r="A512" s="31" t="inlineStr">
        <is>
          <t>29/09/2026</t>
        </is>
      </c>
      <c r="B512" s="31" t="inlineStr">
        <is>
          <t>Martes</t>
        </is>
      </c>
      <c r="C512" s="31" t="inlineStr">
        <is>
          <t>Sucursal Central</t>
        </is>
      </c>
      <c r="D512" s="31" t="n">
        <v>59</v>
      </c>
      <c r="E512" s="31" t="inlineStr">
        <is>
          <t>Galletas</t>
        </is>
      </c>
      <c r="F512" s="32" t="inlineStr">
        <is>
          <t>Champurrada Grande</t>
        </is>
      </c>
      <c r="G512" s="31" t="n">
        <v>15</v>
      </c>
      <c r="H512" s="33" t="n"/>
      <c r="I512" s="33">
        <f>IF(H512&gt;0, H512*G512, "")</f>
        <v/>
      </c>
      <c r="J512" s="33" t="n"/>
      <c r="K512" s="33" t="n">
        <v>0</v>
      </c>
      <c r="L512" s="34">
        <f>IF(I512&gt;0, MAX(0, I512-J512-K512), 0)</f>
        <v/>
      </c>
      <c r="M512" s="35" t="n">
        <v>1.25</v>
      </c>
      <c r="N512" s="36">
        <f>L512*M512</f>
        <v/>
      </c>
    </row>
    <row r="513" ht="19" customHeight="1">
      <c r="A513" s="31" t="inlineStr">
        <is>
          <t>29/09/2026</t>
        </is>
      </c>
      <c r="B513" s="31" t="inlineStr">
        <is>
          <t>Martes</t>
        </is>
      </c>
      <c r="C513" s="31" t="inlineStr">
        <is>
          <t>Sucursal Central</t>
        </is>
      </c>
      <c r="D513" s="31" t="n">
        <v>60</v>
      </c>
      <c r="E513" s="31" t="inlineStr">
        <is>
          <t>Reposteria</t>
        </is>
      </c>
      <c r="F513" s="32" t="inlineStr">
        <is>
          <t>Cubilete de Vainilla</t>
        </is>
      </c>
      <c r="G513" s="31" t="n">
        <v>30</v>
      </c>
      <c r="H513" s="33" t="n"/>
      <c r="I513" s="33">
        <f>IF(H513&gt;0, H513*G513, "")</f>
        <v/>
      </c>
      <c r="J513" s="33" t="n"/>
      <c r="K513" s="33" t="n">
        <v>0</v>
      </c>
      <c r="L513" s="34">
        <f>IF(I513&gt;0, MAX(0, I513-J513-K513), 0)</f>
        <v/>
      </c>
      <c r="M513" s="35" t="n">
        <v>2</v>
      </c>
      <c r="N513" s="36">
        <f>L513*M513</f>
        <v/>
      </c>
    </row>
    <row r="514" ht="19" customHeight="1">
      <c r="A514" s="31" t="inlineStr">
        <is>
          <t>29/09/2026</t>
        </is>
      </c>
      <c r="B514" s="31" t="inlineStr">
        <is>
          <t>Martes</t>
        </is>
      </c>
      <c r="C514" s="31" t="inlineStr">
        <is>
          <t>Sucursal Central</t>
        </is>
      </c>
      <c r="D514" s="31" t="n">
        <v>61</v>
      </c>
      <c r="E514" s="31" t="inlineStr">
        <is>
          <t>Reposteria</t>
        </is>
      </c>
      <c r="F514" s="32" t="inlineStr">
        <is>
          <t>Cubilete de Banano</t>
        </is>
      </c>
      <c r="G514" s="31" t="n">
        <v>30</v>
      </c>
      <c r="H514" s="33" t="n"/>
      <c r="I514" s="33">
        <f>IF(H514&gt;0, H514*G514, "")</f>
        <v/>
      </c>
      <c r="J514" s="33" t="n"/>
      <c r="K514" s="33" t="n">
        <v>0</v>
      </c>
      <c r="L514" s="34">
        <f>IF(I514&gt;0, MAX(0, I514-J514-K514), 0)</f>
        <v/>
      </c>
      <c r="M514" s="35" t="n">
        <v>2</v>
      </c>
      <c r="N514" s="36">
        <f>L514*M514</f>
        <v/>
      </c>
    </row>
    <row r="515" ht="19" customHeight="1">
      <c r="A515" s="31" t="inlineStr">
        <is>
          <t>29/09/2026</t>
        </is>
      </c>
      <c r="B515" s="31" t="inlineStr">
        <is>
          <t>Martes</t>
        </is>
      </c>
      <c r="C515" s="31" t="inlineStr">
        <is>
          <t>Sucursal Central</t>
        </is>
      </c>
      <c r="D515" s="31" t="n">
        <v>62</v>
      </c>
      <c r="E515" s="31" t="inlineStr">
        <is>
          <t>Reposteria</t>
        </is>
      </c>
      <c r="F515" s="32" t="inlineStr">
        <is>
          <t>Empanada de Piña</t>
        </is>
      </c>
      <c r="G515" s="31" t="n">
        <v>16</v>
      </c>
      <c r="H515" s="33" t="n"/>
      <c r="I515" s="33">
        <f>IF(H515&gt;0, H515*G515, "")</f>
        <v/>
      </c>
      <c r="J515" s="33" t="n"/>
      <c r="K515" s="33" t="n">
        <v>0</v>
      </c>
      <c r="L515" s="34">
        <f>IF(I515&gt;0, MAX(0, I515-J515-K515), 0)</f>
        <v/>
      </c>
      <c r="M515" s="35" t="n">
        <v>2.5</v>
      </c>
      <c r="N515" s="36">
        <f>L515*M515</f>
        <v/>
      </c>
    </row>
    <row r="516" ht="19" customHeight="1">
      <c r="A516" s="31" t="inlineStr">
        <is>
          <t>29/09/2026</t>
        </is>
      </c>
      <c r="B516" s="31" t="inlineStr">
        <is>
          <t>Martes</t>
        </is>
      </c>
      <c r="C516" s="31" t="inlineStr">
        <is>
          <t>Sucursal Central</t>
        </is>
      </c>
      <c r="D516" s="31" t="n">
        <v>63</v>
      </c>
      <c r="E516" s="31" t="inlineStr">
        <is>
          <t>Reposteria</t>
        </is>
      </c>
      <c r="F516" s="32" t="inlineStr">
        <is>
          <t>Empanada de Manjar</t>
        </is>
      </c>
      <c r="G516" s="31" t="n">
        <v>16</v>
      </c>
      <c r="H516" s="33" t="n"/>
      <c r="I516" s="33">
        <f>IF(H516&gt;0, H516*G516, "")</f>
        <v/>
      </c>
      <c r="J516" s="33" t="n"/>
      <c r="K516" s="33" t="n">
        <v>0</v>
      </c>
      <c r="L516" s="34">
        <f>IF(I516&gt;0, MAX(0, I516-J516-K516), 0)</f>
        <v/>
      </c>
      <c r="M516" s="35" t="n">
        <v>2.5</v>
      </c>
      <c r="N516" s="36">
        <f>L516*M516</f>
        <v/>
      </c>
    </row>
    <row r="517" ht="19" customHeight="1">
      <c r="A517" s="31" t="inlineStr">
        <is>
          <t>29/09/2026</t>
        </is>
      </c>
      <c r="B517" s="31" t="inlineStr">
        <is>
          <t>Martes</t>
        </is>
      </c>
      <c r="C517" s="31" t="inlineStr">
        <is>
          <t>Sucursal Central</t>
        </is>
      </c>
      <c r="D517" s="31" t="n">
        <v>64</v>
      </c>
      <c r="E517" s="31" t="inlineStr">
        <is>
          <t>Galletas</t>
        </is>
      </c>
      <c r="F517" s="32" t="inlineStr">
        <is>
          <t>Polvorosa Tradicional</t>
        </is>
      </c>
      <c r="G517" s="31" t="n">
        <v>15</v>
      </c>
      <c r="H517" s="33" t="n"/>
      <c r="I517" s="33">
        <f>IF(H517&gt;0, H517*G517, "")</f>
        <v/>
      </c>
      <c r="J517" s="33" t="n"/>
      <c r="K517" s="33" t="n">
        <v>0</v>
      </c>
      <c r="L517" s="34">
        <f>IF(I517&gt;0, MAX(0, I517-J517-K517), 0)</f>
        <v/>
      </c>
      <c r="M517" s="35" t="n">
        <v>1.25</v>
      </c>
      <c r="N517" s="36">
        <f>L517*M517</f>
        <v/>
      </c>
    </row>
    <row r="518" ht="19" customHeight="1">
      <c r="A518" s="31" t="inlineStr">
        <is>
          <t>29/09/2026</t>
        </is>
      </c>
      <c r="B518" s="31" t="inlineStr">
        <is>
          <t>Martes</t>
        </is>
      </c>
      <c r="C518" s="31" t="inlineStr">
        <is>
          <t>Sucursal Central</t>
        </is>
      </c>
      <c r="D518" s="31" t="n">
        <v>65</v>
      </c>
      <c r="E518" s="31" t="inlineStr">
        <is>
          <t>Donas</t>
        </is>
      </c>
      <c r="F518" s="32" t="inlineStr">
        <is>
          <t>Dona Simple Glaseada</t>
        </is>
      </c>
      <c r="G518" s="31" t="n">
        <v>24</v>
      </c>
      <c r="H518" s="33" t="n"/>
      <c r="I518" s="33">
        <f>IF(H518&gt;0, H518*G518, "")</f>
        <v/>
      </c>
      <c r="J518" s="33" t="n"/>
      <c r="K518" s="33" t="n">
        <v>0</v>
      </c>
      <c r="L518" s="34">
        <f>IF(I518&gt;0, MAX(0, I518-J518-K518), 0)</f>
        <v/>
      </c>
      <c r="M518" s="35" t="n">
        <v>2.5</v>
      </c>
      <c r="N518" s="36">
        <f>L518*M518</f>
        <v/>
      </c>
    </row>
    <row r="519" ht="19" customHeight="1">
      <c r="A519" s="31" t="inlineStr">
        <is>
          <t>29/09/2026</t>
        </is>
      </c>
      <c r="B519" s="31" t="inlineStr">
        <is>
          <t>Martes</t>
        </is>
      </c>
      <c r="C519" s="31" t="inlineStr">
        <is>
          <t>Sucursal Central</t>
        </is>
      </c>
      <c r="D519" s="31" t="n">
        <v>66</v>
      </c>
      <c r="E519" s="31" t="inlineStr">
        <is>
          <t>Donas</t>
        </is>
      </c>
      <c r="F519" s="32" t="inlineStr">
        <is>
          <t>Dona Rellena de Manjar</t>
        </is>
      </c>
      <c r="G519" s="31" t="n">
        <v>24</v>
      </c>
      <c r="H519" s="33" t="n"/>
      <c r="I519" s="33">
        <f>IF(H519&gt;0, H519*G519, "")</f>
        <v/>
      </c>
      <c r="J519" s="33" t="n"/>
      <c r="K519" s="33" t="n">
        <v>0</v>
      </c>
      <c r="L519" s="34">
        <f>IF(I519&gt;0, MAX(0, I519-J519-K519), 0)</f>
        <v/>
      </c>
      <c r="M519" s="35" t="n">
        <v>4</v>
      </c>
      <c r="N519" s="36">
        <f>L519*M519</f>
        <v/>
      </c>
    </row>
    <row r="520" ht="19" customHeight="1">
      <c r="A520" s="31" t="inlineStr">
        <is>
          <t>29/09/2026</t>
        </is>
      </c>
      <c r="B520" s="31" t="inlineStr">
        <is>
          <t>Martes</t>
        </is>
      </c>
      <c r="C520" s="31" t="inlineStr">
        <is>
          <t>Sucursal Central</t>
        </is>
      </c>
      <c r="D520" s="31" t="n">
        <v>67</v>
      </c>
      <c r="E520" s="31" t="inlineStr">
        <is>
          <t>Donas</t>
        </is>
      </c>
      <c r="F520" s="32" t="inlineStr">
        <is>
          <t>Dona Rellena de Fresa</t>
        </is>
      </c>
      <c r="G520" s="31" t="n">
        <v>24</v>
      </c>
      <c r="H520" s="33" t="n"/>
      <c r="I520" s="33">
        <f>IF(H520&gt;0, H520*G520, "")</f>
        <v/>
      </c>
      <c r="J520" s="33" t="n"/>
      <c r="K520" s="33" t="n">
        <v>0</v>
      </c>
      <c r="L520" s="34">
        <f>IF(I520&gt;0, MAX(0, I520-J520-K520), 0)</f>
        <v/>
      </c>
      <c r="M520" s="35" t="n">
        <v>4</v>
      </c>
      <c r="N520" s="36">
        <f>L520*M520</f>
        <v/>
      </c>
    </row>
    <row r="521" ht="19" customHeight="1">
      <c r="A521" s="31" t="inlineStr">
        <is>
          <t>29/09/2026</t>
        </is>
      </c>
      <c r="B521" s="31" t="inlineStr">
        <is>
          <t>Martes</t>
        </is>
      </c>
      <c r="C521" s="31" t="inlineStr">
        <is>
          <t>Sucursal Central</t>
        </is>
      </c>
      <c r="D521" s="31" t="n">
        <v>68</v>
      </c>
      <c r="E521" s="31" t="inlineStr">
        <is>
          <t>Pan Dulce</t>
        </is>
      </c>
      <c r="F521" s="32" t="inlineStr">
        <is>
          <t>Campechana</t>
        </is>
      </c>
      <c r="G521" s="31" t="n">
        <v>20</v>
      </c>
      <c r="H521" s="33" t="n"/>
      <c r="I521" s="33">
        <f>IF(H521&gt;0, H521*G521, "")</f>
        <v/>
      </c>
      <c r="J521" s="33" t="n"/>
      <c r="K521" s="33" t="n">
        <v>0</v>
      </c>
      <c r="L521" s="34">
        <f>IF(I521&gt;0, MAX(0, I521-J521-K521), 0)</f>
        <v/>
      </c>
      <c r="M521" s="35" t="n">
        <v>1.25</v>
      </c>
      <c r="N521" s="36">
        <f>L521*M521</f>
        <v/>
      </c>
    </row>
    <row r="522" ht="19" customHeight="1">
      <c r="A522" s="31" t="inlineStr">
        <is>
          <t>29/09/2026</t>
        </is>
      </c>
      <c r="B522" s="31" t="inlineStr">
        <is>
          <t>Martes</t>
        </is>
      </c>
      <c r="C522" s="31" t="inlineStr">
        <is>
          <t>Sucursal Central</t>
        </is>
      </c>
      <c r="D522" s="31" t="n">
        <v>69</v>
      </c>
      <c r="E522" s="31" t="inlineStr">
        <is>
          <t>Pan Dulce</t>
        </is>
      </c>
      <c r="F522" s="32" t="inlineStr">
        <is>
          <t>Pasitas</t>
        </is>
      </c>
      <c r="G522" s="31" t="n">
        <v>30</v>
      </c>
      <c r="H522" s="33" t="n"/>
      <c r="I522" s="33">
        <f>IF(H522&gt;0, H522*G522, "")</f>
        <v/>
      </c>
      <c r="J522" s="33" t="n"/>
      <c r="K522" s="33" t="n">
        <v>0</v>
      </c>
      <c r="L522" s="34">
        <f>IF(I522&gt;0, MAX(0, I522-J522-K522), 0)</f>
        <v/>
      </c>
      <c r="M522" s="35" t="n">
        <v>0.75</v>
      </c>
      <c r="N522" s="36">
        <f>L522*M522</f>
        <v/>
      </c>
    </row>
    <row r="523" ht="19" customHeight="1">
      <c r="A523" s="31" t="inlineStr">
        <is>
          <t>29/09/2026</t>
        </is>
      </c>
      <c r="B523" s="31" t="inlineStr">
        <is>
          <t>Martes</t>
        </is>
      </c>
      <c r="C523" s="31" t="inlineStr">
        <is>
          <t>Sucursal Central</t>
        </is>
      </c>
      <c r="D523" s="31" t="n">
        <v>70</v>
      </c>
      <c r="E523" s="31" t="inlineStr">
        <is>
          <t>Reposteria</t>
        </is>
      </c>
      <c r="F523" s="32" t="inlineStr">
        <is>
          <t>Cortada de Fresa</t>
        </is>
      </c>
      <c r="G523" s="31" t="n">
        <v>14</v>
      </c>
      <c r="H523" s="33" t="n"/>
      <c r="I523" s="33">
        <f>IF(H523&gt;0, H523*G523, "")</f>
        <v/>
      </c>
      <c r="J523" s="33" t="n"/>
      <c r="K523" s="33" t="n">
        <v>0</v>
      </c>
      <c r="L523" s="34">
        <f>IF(I523&gt;0, MAX(0, I523-J523-K523), 0)</f>
        <v/>
      </c>
      <c r="M523" s="35" t="n">
        <v>2.5</v>
      </c>
      <c r="N523" s="36">
        <f>L523*M523</f>
        <v/>
      </c>
    </row>
    <row r="524" ht="19" customHeight="1">
      <c r="A524" s="31" t="inlineStr">
        <is>
          <t>29/09/2026</t>
        </is>
      </c>
      <c r="B524" s="31" t="inlineStr">
        <is>
          <t>Martes</t>
        </is>
      </c>
      <c r="C524" s="31" t="inlineStr">
        <is>
          <t>Sucursal Central</t>
        </is>
      </c>
      <c r="D524" s="31" t="n">
        <v>71</v>
      </c>
      <c r="E524" s="31" t="inlineStr">
        <is>
          <t>Reposteria</t>
        </is>
      </c>
      <c r="F524" s="32" t="inlineStr">
        <is>
          <t>Cortada de Chocolate</t>
        </is>
      </c>
      <c r="G524" s="31" t="n">
        <v>14</v>
      </c>
      <c r="H524" s="33" t="n"/>
      <c r="I524" s="33">
        <f>IF(H524&gt;0, H524*G524, "")</f>
        <v/>
      </c>
      <c r="J524" s="33" t="n"/>
      <c r="K524" s="33" t="n">
        <v>0</v>
      </c>
      <c r="L524" s="34">
        <f>IF(I524&gt;0, MAX(0, I524-J524-K524), 0)</f>
        <v/>
      </c>
      <c r="M524" s="35" t="n">
        <v>2.5</v>
      </c>
      <c r="N524" s="36">
        <f>L524*M524</f>
        <v/>
      </c>
    </row>
    <row r="525" ht="19" customHeight="1">
      <c r="A525" s="37" t="inlineStr">
        <is>
          <t>30/09/2026</t>
        </is>
      </c>
      <c r="B525" s="37" t="inlineStr">
        <is>
          <t>Miércoles</t>
        </is>
      </c>
      <c r="C525" s="37" t="inlineStr">
        <is>
          <t>Sucursal Central</t>
        </is>
      </c>
      <c r="D525" s="37" t="n">
        <v>54</v>
      </c>
      <c r="E525" s="37" t="inlineStr">
        <is>
          <t>Pan</t>
        </is>
      </c>
      <c r="F525" s="38" t="inlineStr">
        <is>
          <t>Pan Francés Tradicional</t>
        </is>
      </c>
      <c r="G525" s="37" t="n">
        <v>36</v>
      </c>
      <c r="H525" s="39" t="n"/>
      <c r="I525" s="39">
        <f>IF(H525&gt;0, H525*G525, "")</f>
        <v/>
      </c>
      <c r="J525" s="39" t="n"/>
      <c r="K525" s="39" t="n">
        <v>0</v>
      </c>
      <c r="L525" s="40">
        <f>IF(I525&gt;0, MAX(0, I525-J525-K525), 0)</f>
        <v/>
      </c>
      <c r="M525" s="41" t="n">
        <v>0.5</v>
      </c>
      <c r="N525" s="42">
        <f>L525*M525</f>
        <v/>
      </c>
    </row>
    <row r="526" ht="19" customHeight="1">
      <c r="A526" s="37" t="inlineStr">
        <is>
          <t>30/09/2026</t>
        </is>
      </c>
      <c r="B526" s="37" t="inlineStr">
        <is>
          <t>Miércoles</t>
        </is>
      </c>
      <c r="C526" s="37" t="inlineStr">
        <is>
          <t>Sucursal Central</t>
        </is>
      </c>
      <c r="D526" s="37" t="n">
        <v>55</v>
      </c>
      <c r="E526" s="37" t="inlineStr">
        <is>
          <t>Pan Dulce</t>
        </is>
      </c>
      <c r="F526" s="38" t="inlineStr">
        <is>
          <t>Pan Dulce Pequeño</t>
        </is>
      </c>
      <c r="G526" s="37" t="n">
        <v>40</v>
      </c>
      <c r="H526" s="39" t="n"/>
      <c r="I526" s="39">
        <f>IF(H526&gt;0, H526*G526, "")</f>
        <v/>
      </c>
      <c r="J526" s="39" t="n"/>
      <c r="K526" s="39" t="n">
        <v>0</v>
      </c>
      <c r="L526" s="40">
        <f>IF(I526&gt;0, MAX(0, I526-J526-K526), 0)</f>
        <v/>
      </c>
      <c r="M526" s="41" t="n">
        <v>0.5</v>
      </c>
      <c r="N526" s="42">
        <f>L526*M526</f>
        <v/>
      </c>
    </row>
    <row r="527" ht="19" customHeight="1">
      <c r="A527" s="37" t="inlineStr">
        <is>
          <t>30/09/2026</t>
        </is>
      </c>
      <c r="B527" s="37" t="inlineStr">
        <is>
          <t>Miércoles</t>
        </is>
      </c>
      <c r="C527" s="37" t="inlineStr">
        <is>
          <t>Sucursal Central</t>
        </is>
      </c>
      <c r="D527" s="37" t="n">
        <v>56</v>
      </c>
      <c r="E527" s="37" t="inlineStr">
        <is>
          <t>Pan Dulce</t>
        </is>
      </c>
      <c r="F527" s="38" t="inlineStr">
        <is>
          <t>Pan Dulce Grande</t>
        </is>
      </c>
      <c r="G527" s="37" t="n">
        <v>20</v>
      </c>
      <c r="H527" s="39" t="n"/>
      <c r="I527" s="39">
        <f>IF(H527&gt;0, H527*G527, "")</f>
        <v/>
      </c>
      <c r="J527" s="39" t="n"/>
      <c r="K527" s="39" t="n">
        <v>0</v>
      </c>
      <c r="L527" s="40">
        <f>IF(I527&gt;0, MAX(0, I527-J527-K527), 0)</f>
        <v/>
      </c>
      <c r="M527" s="41" t="n">
        <v>1.25</v>
      </c>
      <c r="N527" s="42">
        <f>L527*M527</f>
        <v/>
      </c>
    </row>
    <row r="528" ht="19" customHeight="1">
      <c r="A528" s="37" t="inlineStr">
        <is>
          <t>30/09/2026</t>
        </is>
      </c>
      <c r="B528" s="37" t="inlineStr">
        <is>
          <t>Miércoles</t>
        </is>
      </c>
      <c r="C528" s="37" t="inlineStr">
        <is>
          <t>Sucursal Central</t>
        </is>
      </c>
      <c r="D528" s="37" t="n">
        <v>57</v>
      </c>
      <c r="E528" s="37" t="inlineStr">
        <is>
          <t>Galletas</t>
        </is>
      </c>
      <c r="F528" s="38" t="inlineStr">
        <is>
          <t>Pan Galleta</t>
        </is>
      </c>
      <c r="G528" s="37" t="n">
        <v>20</v>
      </c>
      <c r="H528" s="39" t="n"/>
      <c r="I528" s="39">
        <f>IF(H528&gt;0, H528*G528, "")</f>
        <v/>
      </c>
      <c r="J528" s="39" t="n"/>
      <c r="K528" s="39" t="n">
        <v>0</v>
      </c>
      <c r="L528" s="40">
        <f>IF(I528&gt;0, MAX(0, I528-J528-K528), 0)</f>
        <v/>
      </c>
      <c r="M528" s="41" t="n">
        <v>1.25</v>
      </c>
      <c r="N528" s="42">
        <f>L528*M528</f>
        <v/>
      </c>
    </row>
    <row r="529" ht="19" customHeight="1">
      <c r="A529" s="37" t="inlineStr">
        <is>
          <t>30/09/2026</t>
        </is>
      </c>
      <c r="B529" s="37" t="inlineStr">
        <is>
          <t>Miércoles</t>
        </is>
      </c>
      <c r="C529" s="37" t="inlineStr">
        <is>
          <t>Sucursal Central</t>
        </is>
      </c>
      <c r="D529" s="37" t="n">
        <v>58</v>
      </c>
      <c r="E529" s="37" t="inlineStr">
        <is>
          <t>Galletas</t>
        </is>
      </c>
      <c r="F529" s="38" t="inlineStr">
        <is>
          <t>Champurrada Pequeña</t>
        </is>
      </c>
      <c r="G529" s="37" t="n">
        <v>24</v>
      </c>
      <c r="H529" s="39" t="n"/>
      <c r="I529" s="39">
        <f>IF(H529&gt;0, H529*G529, "")</f>
        <v/>
      </c>
      <c r="J529" s="39" t="n"/>
      <c r="K529" s="39" t="n">
        <v>0</v>
      </c>
      <c r="L529" s="40">
        <f>IF(I529&gt;0, MAX(0, I529-J529-K529), 0)</f>
        <v/>
      </c>
      <c r="M529" s="41" t="n">
        <v>0.5</v>
      </c>
      <c r="N529" s="42">
        <f>L529*M529</f>
        <v/>
      </c>
    </row>
    <row r="530" ht="19" customHeight="1">
      <c r="A530" s="37" t="inlineStr">
        <is>
          <t>30/09/2026</t>
        </is>
      </c>
      <c r="B530" s="37" t="inlineStr">
        <is>
          <t>Miércoles</t>
        </is>
      </c>
      <c r="C530" s="37" t="inlineStr">
        <is>
          <t>Sucursal Central</t>
        </is>
      </c>
      <c r="D530" s="37" t="n">
        <v>59</v>
      </c>
      <c r="E530" s="37" t="inlineStr">
        <is>
          <t>Galletas</t>
        </is>
      </c>
      <c r="F530" s="38" t="inlineStr">
        <is>
          <t>Champurrada Grande</t>
        </is>
      </c>
      <c r="G530" s="37" t="n">
        <v>15</v>
      </c>
      <c r="H530" s="39" t="n"/>
      <c r="I530" s="39">
        <f>IF(H530&gt;0, H530*G530, "")</f>
        <v/>
      </c>
      <c r="J530" s="39" t="n"/>
      <c r="K530" s="39" t="n">
        <v>0</v>
      </c>
      <c r="L530" s="40">
        <f>IF(I530&gt;0, MAX(0, I530-J530-K530), 0)</f>
        <v/>
      </c>
      <c r="M530" s="41" t="n">
        <v>1.25</v>
      </c>
      <c r="N530" s="42">
        <f>L530*M530</f>
        <v/>
      </c>
    </row>
    <row r="531" ht="19" customHeight="1">
      <c r="A531" s="37" t="inlineStr">
        <is>
          <t>30/09/2026</t>
        </is>
      </c>
      <c r="B531" s="37" t="inlineStr">
        <is>
          <t>Miércoles</t>
        </is>
      </c>
      <c r="C531" s="37" t="inlineStr">
        <is>
          <t>Sucursal Central</t>
        </is>
      </c>
      <c r="D531" s="37" t="n">
        <v>60</v>
      </c>
      <c r="E531" s="37" t="inlineStr">
        <is>
          <t>Reposteria</t>
        </is>
      </c>
      <c r="F531" s="38" t="inlineStr">
        <is>
          <t>Cubilete de Vainilla</t>
        </is>
      </c>
      <c r="G531" s="37" t="n">
        <v>30</v>
      </c>
      <c r="H531" s="39" t="n"/>
      <c r="I531" s="39">
        <f>IF(H531&gt;0, H531*G531, "")</f>
        <v/>
      </c>
      <c r="J531" s="39" t="n"/>
      <c r="K531" s="39" t="n">
        <v>0</v>
      </c>
      <c r="L531" s="40">
        <f>IF(I531&gt;0, MAX(0, I531-J531-K531), 0)</f>
        <v/>
      </c>
      <c r="M531" s="41" t="n">
        <v>2</v>
      </c>
      <c r="N531" s="42">
        <f>L531*M531</f>
        <v/>
      </c>
    </row>
    <row r="532" ht="19" customHeight="1">
      <c r="A532" s="37" t="inlineStr">
        <is>
          <t>30/09/2026</t>
        </is>
      </c>
      <c r="B532" s="37" t="inlineStr">
        <is>
          <t>Miércoles</t>
        </is>
      </c>
      <c r="C532" s="37" t="inlineStr">
        <is>
          <t>Sucursal Central</t>
        </is>
      </c>
      <c r="D532" s="37" t="n">
        <v>61</v>
      </c>
      <c r="E532" s="37" t="inlineStr">
        <is>
          <t>Reposteria</t>
        </is>
      </c>
      <c r="F532" s="38" t="inlineStr">
        <is>
          <t>Cubilete de Banano</t>
        </is>
      </c>
      <c r="G532" s="37" t="n">
        <v>30</v>
      </c>
      <c r="H532" s="39" t="n"/>
      <c r="I532" s="39">
        <f>IF(H532&gt;0, H532*G532, "")</f>
        <v/>
      </c>
      <c r="J532" s="39" t="n"/>
      <c r="K532" s="39" t="n">
        <v>0</v>
      </c>
      <c r="L532" s="40">
        <f>IF(I532&gt;0, MAX(0, I532-J532-K532), 0)</f>
        <v/>
      </c>
      <c r="M532" s="41" t="n">
        <v>2</v>
      </c>
      <c r="N532" s="42">
        <f>L532*M532</f>
        <v/>
      </c>
    </row>
    <row r="533" ht="19" customHeight="1">
      <c r="A533" s="37" t="inlineStr">
        <is>
          <t>30/09/2026</t>
        </is>
      </c>
      <c r="B533" s="37" t="inlineStr">
        <is>
          <t>Miércoles</t>
        </is>
      </c>
      <c r="C533" s="37" t="inlineStr">
        <is>
          <t>Sucursal Central</t>
        </is>
      </c>
      <c r="D533" s="37" t="n">
        <v>62</v>
      </c>
      <c r="E533" s="37" t="inlineStr">
        <is>
          <t>Reposteria</t>
        </is>
      </c>
      <c r="F533" s="38" t="inlineStr">
        <is>
          <t>Empanada de Piña</t>
        </is>
      </c>
      <c r="G533" s="37" t="n">
        <v>16</v>
      </c>
      <c r="H533" s="39" t="n"/>
      <c r="I533" s="39">
        <f>IF(H533&gt;0, H533*G533, "")</f>
        <v/>
      </c>
      <c r="J533" s="39" t="n"/>
      <c r="K533" s="39" t="n">
        <v>0</v>
      </c>
      <c r="L533" s="40">
        <f>IF(I533&gt;0, MAX(0, I533-J533-K533), 0)</f>
        <v/>
      </c>
      <c r="M533" s="41" t="n">
        <v>2.5</v>
      </c>
      <c r="N533" s="42">
        <f>L533*M533</f>
        <v/>
      </c>
    </row>
    <row r="534" ht="19" customHeight="1">
      <c r="A534" s="37" t="inlineStr">
        <is>
          <t>30/09/2026</t>
        </is>
      </c>
      <c r="B534" s="37" t="inlineStr">
        <is>
          <t>Miércoles</t>
        </is>
      </c>
      <c r="C534" s="37" t="inlineStr">
        <is>
          <t>Sucursal Central</t>
        </is>
      </c>
      <c r="D534" s="37" t="n">
        <v>63</v>
      </c>
      <c r="E534" s="37" t="inlineStr">
        <is>
          <t>Reposteria</t>
        </is>
      </c>
      <c r="F534" s="38" t="inlineStr">
        <is>
          <t>Empanada de Manjar</t>
        </is>
      </c>
      <c r="G534" s="37" t="n">
        <v>16</v>
      </c>
      <c r="H534" s="39" t="n"/>
      <c r="I534" s="39">
        <f>IF(H534&gt;0, H534*G534, "")</f>
        <v/>
      </c>
      <c r="J534" s="39" t="n"/>
      <c r="K534" s="39" t="n">
        <v>0</v>
      </c>
      <c r="L534" s="40">
        <f>IF(I534&gt;0, MAX(0, I534-J534-K534), 0)</f>
        <v/>
      </c>
      <c r="M534" s="41" t="n">
        <v>2.5</v>
      </c>
      <c r="N534" s="42">
        <f>L534*M534</f>
        <v/>
      </c>
    </row>
    <row r="535" ht="19" customHeight="1">
      <c r="A535" s="37" t="inlineStr">
        <is>
          <t>30/09/2026</t>
        </is>
      </c>
      <c r="B535" s="37" t="inlineStr">
        <is>
          <t>Miércoles</t>
        </is>
      </c>
      <c r="C535" s="37" t="inlineStr">
        <is>
          <t>Sucursal Central</t>
        </is>
      </c>
      <c r="D535" s="37" t="n">
        <v>64</v>
      </c>
      <c r="E535" s="37" t="inlineStr">
        <is>
          <t>Galletas</t>
        </is>
      </c>
      <c r="F535" s="38" t="inlineStr">
        <is>
          <t>Polvorosa Tradicional</t>
        </is>
      </c>
      <c r="G535" s="37" t="n">
        <v>15</v>
      </c>
      <c r="H535" s="39" t="n"/>
      <c r="I535" s="39">
        <f>IF(H535&gt;0, H535*G535, "")</f>
        <v/>
      </c>
      <c r="J535" s="39" t="n"/>
      <c r="K535" s="39" t="n">
        <v>0</v>
      </c>
      <c r="L535" s="40">
        <f>IF(I535&gt;0, MAX(0, I535-J535-K535), 0)</f>
        <v/>
      </c>
      <c r="M535" s="41" t="n">
        <v>1.25</v>
      </c>
      <c r="N535" s="42">
        <f>L535*M535</f>
        <v/>
      </c>
    </row>
    <row r="536" ht="19" customHeight="1">
      <c r="A536" s="37" t="inlineStr">
        <is>
          <t>30/09/2026</t>
        </is>
      </c>
      <c r="B536" s="37" t="inlineStr">
        <is>
          <t>Miércoles</t>
        </is>
      </c>
      <c r="C536" s="37" t="inlineStr">
        <is>
          <t>Sucursal Central</t>
        </is>
      </c>
      <c r="D536" s="37" t="n">
        <v>65</v>
      </c>
      <c r="E536" s="37" t="inlineStr">
        <is>
          <t>Donas</t>
        </is>
      </c>
      <c r="F536" s="38" t="inlineStr">
        <is>
          <t>Dona Simple Glaseada</t>
        </is>
      </c>
      <c r="G536" s="37" t="n">
        <v>24</v>
      </c>
      <c r="H536" s="39" t="n"/>
      <c r="I536" s="39">
        <f>IF(H536&gt;0, H536*G536, "")</f>
        <v/>
      </c>
      <c r="J536" s="39" t="n"/>
      <c r="K536" s="39" t="n">
        <v>0</v>
      </c>
      <c r="L536" s="40">
        <f>IF(I536&gt;0, MAX(0, I536-J536-K536), 0)</f>
        <v/>
      </c>
      <c r="M536" s="41" t="n">
        <v>2.5</v>
      </c>
      <c r="N536" s="42">
        <f>L536*M536</f>
        <v/>
      </c>
    </row>
    <row r="537" ht="19" customHeight="1">
      <c r="A537" s="37" t="inlineStr">
        <is>
          <t>30/09/2026</t>
        </is>
      </c>
      <c r="B537" s="37" t="inlineStr">
        <is>
          <t>Miércoles</t>
        </is>
      </c>
      <c r="C537" s="37" t="inlineStr">
        <is>
          <t>Sucursal Central</t>
        </is>
      </c>
      <c r="D537" s="37" t="n">
        <v>66</v>
      </c>
      <c r="E537" s="37" t="inlineStr">
        <is>
          <t>Donas</t>
        </is>
      </c>
      <c r="F537" s="38" t="inlineStr">
        <is>
          <t>Dona Rellena de Manjar</t>
        </is>
      </c>
      <c r="G537" s="37" t="n">
        <v>24</v>
      </c>
      <c r="H537" s="39" t="n"/>
      <c r="I537" s="39">
        <f>IF(H537&gt;0, H537*G537, "")</f>
        <v/>
      </c>
      <c r="J537" s="39" t="n"/>
      <c r="K537" s="39" t="n">
        <v>0</v>
      </c>
      <c r="L537" s="40">
        <f>IF(I537&gt;0, MAX(0, I537-J537-K537), 0)</f>
        <v/>
      </c>
      <c r="M537" s="41" t="n">
        <v>4</v>
      </c>
      <c r="N537" s="42">
        <f>L537*M537</f>
        <v/>
      </c>
    </row>
    <row r="538" ht="19" customHeight="1">
      <c r="A538" s="37" t="inlineStr">
        <is>
          <t>30/09/2026</t>
        </is>
      </c>
      <c r="B538" s="37" t="inlineStr">
        <is>
          <t>Miércoles</t>
        </is>
      </c>
      <c r="C538" s="37" t="inlineStr">
        <is>
          <t>Sucursal Central</t>
        </is>
      </c>
      <c r="D538" s="37" t="n">
        <v>67</v>
      </c>
      <c r="E538" s="37" t="inlineStr">
        <is>
          <t>Donas</t>
        </is>
      </c>
      <c r="F538" s="38" t="inlineStr">
        <is>
          <t>Dona Rellena de Fresa</t>
        </is>
      </c>
      <c r="G538" s="37" t="n">
        <v>24</v>
      </c>
      <c r="H538" s="39" t="n"/>
      <c r="I538" s="39">
        <f>IF(H538&gt;0, H538*G538, "")</f>
        <v/>
      </c>
      <c r="J538" s="39" t="n"/>
      <c r="K538" s="39" t="n">
        <v>0</v>
      </c>
      <c r="L538" s="40">
        <f>IF(I538&gt;0, MAX(0, I538-J538-K538), 0)</f>
        <v/>
      </c>
      <c r="M538" s="41" t="n">
        <v>4</v>
      </c>
      <c r="N538" s="42">
        <f>L538*M538</f>
        <v/>
      </c>
    </row>
    <row r="539" ht="19" customHeight="1">
      <c r="A539" s="37" t="inlineStr">
        <is>
          <t>30/09/2026</t>
        </is>
      </c>
      <c r="B539" s="37" t="inlineStr">
        <is>
          <t>Miércoles</t>
        </is>
      </c>
      <c r="C539" s="37" t="inlineStr">
        <is>
          <t>Sucursal Central</t>
        </is>
      </c>
      <c r="D539" s="37" t="n">
        <v>68</v>
      </c>
      <c r="E539" s="37" t="inlineStr">
        <is>
          <t>Pan Dulce</t>
        </is>
      </c>
      <c r="F539" s="38" t="inlineStr">
        <is>
          <t>Campechana</t>
        </is>
      </c>
      <c r="G539" s="37" t="n">
        <v>20</v>
      </c>
      <c r="H539" s="39" t="n"/>
      <c r="I539" s="39">
        <f>IF(H539&gt;0, H539*G539, "")</f>
        <v/>
      </c>
      <c r="J539" s="39" t="n"/>
      <c r="K539" s="39" t="n">
        <v>0</v>
      </c>
      <c r="L539" s="40">
        <f>IF(I539&gt;0, MAX(0, I539-J539-K539), 0)</f>
        <v/>
      </c>
      <c r="M539" s="41" t="n">
        <v>1.25</v>
      </c>
      <c r="N539" s="42">
        <f>L539*M539</f>
        <v/>
      </c>
    </row>
    <row r="540" ht="19" customHeight="1">
      <c r="A540" s="37" t="inlineStr">
        <is>
          <t>30/09/2026</t>
        </is>
      </c>
      <c r="B540" s="37" t="inlineStr">
        <is>
          <t>Miércoles</t>
        </is>
      </c>
      <c r="C540" s="37" t="inlineStr">
        <is>
          <t>Sucursal Central</t>
        </is>
      </c>
      <c r="D540" s="37" t="n">
        <v>69</v>
      </c>
      <c r="E540" s="37" t="inlineStr">
        <is>
          <t>Pan Dulce</t>
        </is>
      </c>
      <c r="F540" s="38" t="inlineStr">
        <is>
          <t>Pasitas</t>
        </is>
      </c>
      <c r="G540" s="37" t="n">
        <v>30</v>
      </c>
      <c r="H540" s="39" t="n"/>
      <c r="I540" s="39">
        <f>IF(H540&gt;0, H540*G540, "")</f>
        <v/>
      </c>
      <c r="J540" s="39" t="n"/>
      <c r="K540" s="39" t="n">
        <v>0</v>
      </c>
      <c r="L540" s="40">
        <f>IF(I540&gt;0, MAX(0, I540-J540-K540), 0)</f>
        <v/>
      </c>
      <c r="M540" s="41" t="n">
        <v>0.75</v>
      </c>
      <c r="N540" s="42">
        <f>L540*M540</f>
        <v/>
      </c>
    </row>
    <row r="541" ht="19" customHeight="1">
      <c r="A541" s="37" t="inlineStr">
        <is>
          <t>30/09/2026</t>
        </is>
      </c>
      <c r="B541" s="37" t="inlineStr">
        <is>
          <t>Miércoles</t>
        </is>
      </c>
      <c r="C541" s="37" t="inlineStr">
        <is>
          <t>Sucursal Central</t>
        </is>
      </c>
      <c r="D541" s="37" t="n">
        <v>70</v>
      </c>
      <c r="E541" s="37" t="inlineStr">
        <is>
          <t>Reposteria</t>
        </is>
      </c>
      <c r="F541" s="38" t="inlineStr">
        <is>
          <t>Cortada de Fresa</t>
        </is>
      </c>
      <c r="G541" s="37" t="n">
        <v>14</v>
      </c>
      <c r="H541" s="39" t="n"/>
      <c r="I541" s="39">
        <f>IF(H541&gt;0, H541*G541, "")</f>
        <v/>
      </c>
      <c r="J541" s="39" t="n"/>
      <c r="K541" s="39" t="n">
        <v>0</v>
      </c>
      <c r="L541" s="40">
        <f>IF(I541&gt;0, MAX(0, I541-J541-K541), 0)</f>
        <v/>
      </c>
      <c r="M541" s="41" t="n">
        <v>2.5</v>
      </c>
      <c r="N541" s="42">
        <f>L541*M541</f>
        <v/>
      </c>
    </row>
    <row r="542" ht="19" customHeight="1">
      <c r="A542" s="37" t="inlineStr">
        <is>
          <t>30/09/2026</t>
        </is>
      </c>
      <c r="B542" s="37" t="inlineStr">
        <is>
          <t>Miércoles</t>
        </is>
      </c>
      <c r="C542" s="37" t="inlineStr">
        <is>
          <t>Sucursal Central</t>
        </is>
      </c>
      <c r="D542" s="37" t="n">
        <v>71</v>
      </c>
      <c r="E542" s="37" t="inlineStr">
        <is>
          <t>Reposteria</t>
        </is>
      </c>
      <c r="F542" s="38" t="inlineStr">
        <is>
          <t>Cortada de Chocolate</t>
        </is>
      </c>
      <c r="G542" s="37" t="n">
        <v>14</v>
      </c>
      <c r="H542" s="39" t="n"/>
      <c r="I542" s="39">
        <f>IF(H542&gt;0, H542*G542, "")</f>
        <v/>
      </c>
      <c r="J542" s="39" t="n"/>
      <c r="K542" s="39" t="n">
        <v>0</v>
      </c>
      <c r="L542" s="40">
        <f>IF(I542&gt;0, MAX(0, I542-J542-K542), 0)</f>
        <v/>
      </c>
      <c r="M542" s="41" t="n">
        <v>2.5</v>
      </c>
      <c r="N542" s="42">
        <f>L542*M542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4" customWidth="1" min="9" max="9"/>
  </cols>
  <sheetData>
    <row r="1" ht="32" customHeight="1">
      <c r="A1" s="5" t="inlineStr">
        <is>
          <t>RESUMEN CONSOLIDADO MENSUAL POR PRODUCTO — SEPTIEMBRE 2026</t>
        </is>
      </c>
    </row>
    <row r="2" ht="26" customHeight="1">
      <c r="A2" s="6" t="inlineStr">
        <is>
          <t>ID</t>
        </is>
      </c>
      <c r="B2" s="6" t="inlineStr">
        <is>
          <t>Categoría</t>
        </is>
      </c>
      <c r="C2" s="6" t="inlineStr">
        <is>
          <t>Producto</t>
        </is>
      </c>
      <c r="D2" s="6" t="inlineStr">
        <is>
          <t>Precio Base</t>
        </is>
      </c>
      <c r="E2" s="6" t="inlineStr">
        <is>
          <t>Total Horneado Mes</t>
        </is>
      </c>
      <c r="F2" s="6" t="inlineStr">
        <is>
          <t>Total Sobrante Mes</t>
        </is>
      </c>
      <c r="G2" s="6" t="inlineStr">
        <is>
          <t>Total Vendido Mes</t>
        </is>
      </c>
      <c r="H2" s="6" t="inlineStr">
        <is>
          <t>% Eficiencia Venta</t>
        </is>
      </c>
      <c r="I2" s="6" t="inlineStr">
        <is>
          <t>Ingreso Total Estimado (Q)</t>
        </is>
      </c>
    </row>
    <row r="3" ht="22" customHeight="1">
      <c r="A3" s="31" t="n">
        <v>54</v>
      </c>
      <c r="B3" s="31" t="inlineStr">
        <is>
          <t>Pan</t>
        </is>
      </c>
      <c r="C3" s="32" t="inlineStr">
        <is>
          <t>Pan Francés Tradicional</t>
        </is>
      </c>
      <c r="D3" s="35" t="n">
        <v>0.5</v>
      </c>
      <c r="E3" s="47">
        <f>SUMIF(Carga_Detallada_Dia_a_Dia!$D$3:$D$542, A3, Carga_Detallada_Dia_a_Dia!$I$3:$I$542)</f>
        <v/>
      </c>
      <c r="F3" s="16">
        <f>SUMIF(Carga_Detallada_Dia_a_Dia!$D$3:$D$542, A3, Carga_Detallada_Dia_a_Dia!$J$3:$J$542)</f>
        <v/>
      </c>
      <c r="G3" s="14">
        <f>SUMIF(Carga_Detallada_Dia_a_Dia!$D$3:$D$542, A3, Carga_Detallada_Dia_a_Dia!$L$3:$L$542)</f>
        <v/>
      </c>
      <c r="H3" s="48">
        <f>IF(E3&gt;0, G3/E3, 0)</f>
        <v/>
      </c>
      <c r="I3" s="17">
        <f>G3*D3</f>
        <v/>
      </c>
    </row>
    <row r="4" ht="22" customHeight="1">
      <c r="A4" s="37" t="n">
        <v>55</v>
      </c>
      <c r="B4" s="37" t="inlineStr">
        <is>
          <t>Pan Dulce</t>
        </is>
      </c>
      <c r="C4" s="38" t="inlineStr">
        <is>
          <t>Pan Dulce Pequeño</t>
        </is>
      </c>
      <c r="D4" s="41" t="n">
        <v>0.5</v>
      </c>
      <c r="E4" s="49">
        <f>SUMIF(Carga_Detallada_Dia_a_Dia!$D$3:$D$542, A4, Carga_Detallada_Dia_a_Dia!$I$3:$I$542)</f>
        <v/>
      </c>
      <c r="F4" s="16">
        <f>SUMIF(Carga_Detallada_Dia_a_Dia!$D$3:$D$542, A4, Carga_Detallada_Dia_a_Dia!$J$3:$J$542)</f>
        <v/>
      </c>
      <c r="G4" s="14">
        <f>SUMIF(Carga_Detallada_Dia_a_Dia!$D$3:$D$542, A4, Carga_Detallada_Dia_a_Dia!$L$3:$L$542)</f>
        <v/>
      </c>
      <c r="H4" s="50">
        <f>IF(E4&gt;0, G4/E4, 0)</f>
        <v/>
      </c>
      <c r="I4" s="17">
        <f>G4*D4</f>
        <v/>
      </c>
    </row>
    <row r="5" ht="22" customHeight="1">
      <c r="A5" s="31" t="n">
        <v>56</v>
      </c>
      <c r="B5" s="31" t="inlineStr">
        <is>
          <t>Pan Dulce</t>
        </is>
      </c>
      <c r="C5" s="32" t="inlineStr">
        <is>
          <t>Pan Dulce Grande</t>
        </is>
      </c>
      <c r="D5" s="35" t="n">
        <v>1.25</v>
      </c>
      <c r="E5" s="47">
        <f>SUMIF(Carga_Detallada_Dia_a_Dia!$D$3:$D$542, A5, Carga_Detallada_Dia_a_Dia!$I$3:$I$542)</f>
        <v/>
      </c>
      <c r="F5" s="16">
        <f>SUMIF(Carga_Detallada_Dia_a_Dia!$D$3:$D$542, A5, Carga_Detallada_Dia_a_Dia!$J$3:$J$542)</f>
        <v/>
      </c>
      <c r="G5" s="14">
        <f>SUMIF(Carga_Detallada_Dia_a_Dia!$D$3:$D$542, A5, Carga_Detallada_Dia_a_Dia!$L$3:$L$542)</f>
        <v/>
      </c>
      <c r="H5" s="48">
        <f>IF(E5&gt;0, G5/E5, 0)</f>
        <v/>
      </c>
      <c r="I5" s="17">
        <f>G5*D5</f>
        <v/>
      </c>
    </row>
    <row r="6" ht="22" customHeight="1">
      <c r="A6" s="37" t="n">
        <v>57</v>
      </c>
      <c r="B6" s="37" t="inlineStr">
        <is>
          <t>Galletas</t>
        </is>
      </c>
      <c r="C6" s="38" t="inlineStr">
        <is>
          <t>Pan Galleta</t>
        </is>
      </c>
      <c r="D6" s="41" t="n">
        <v>1.25</v>
      </c>
      <c r="E6" s="49">
        <f>SUMIF(Carga_Detallada_Dia_a_Dia!$D$3:$D$542, A6, Carga_Detallada_Dia_a_Dia!$I$3:$I$542)</f>
        <v/>
      </c>
      <c r="F6" s="16">
        <f>SUMIF(Carga_Detallada_Dia_a_Dia!$D$3:$D$542, A6, Carga_Detallada_Dia_a_Dia!$J$3:$J$542)</f>
        <v/>
      </c>
      <c r="G6" s="14">
        <f>SUMIF(Carga_Detallada_Dia_a_Dia!$D$3:$D$542, A6, Carga_Detallada_Dia_a_Dia!$L$3:$L$542)</f>
        <v/>
      </c>
      <c r="H6" s="50">
        <f>IF(E6&gt;0, G6/E6, 0)</f>
        <v/>
      </c>
      <c r="I6" s="17">
        <f>G6*D6</f>
        <v/>
      </c>
    </row>
    <row r="7" ht="22" customHeight="1">
      <c r="A7" s="31" t="n">
        <v>58</v>
      </c>
      <c r="B7" s="31" t="inlineStr">
        <is>
          <t>Galletas</t>
        </is>
      </c>
      <c r="C7" s="32" t="inlineStr">
        <is>
          <t>Champurrada Pequeña</t>
        </is>
      </c>
      <c r="D7" s="35" t="n">
        <v>0.5</v>
      </c>
      <c r="E7" s="47">
        <f>SUMIF(Carga_Detallada_Dia_a_Dia!$D$3:$D$542, A7, Carga_Detallada_Dia_a_Dia!$I$3:$I$542)</f>
        <v/>
      </c>
      <c r="F7" s="16">
        <f>SUMIF(Carga_Detallada_Dia_a_Dia!$D$3:$D$542, A7, Carga_Detallada_Dia_a_Dia!$J$3:$J$542)</f>
        <v/>
      </c>
      <c r="G7" s="14">
        <f>SUMIF(Carga_Detallada_Dia_a_Dia!$D$3:$D$542, A7, Carga_Detallada_Dia_a_Dia!$L$3:$L$542)</f>
        <v/>
      </c>
      <c r="H7" s="48">
        <f>IF(E7&gt;0, G7/E7, 0)</f>
        <v/>
      </c>
      <c r="I7" s="17">
        <f>G7*D7</f>
        <v/>
      </c>
    </row>
    <row r="8" ht="22" customHeight="1">
      <c r="A8" s="37" t="n">
        <v>59</v>
      </c>
      <c r="B8" s="37" t="inlineStr">
        <is>
          <t>Galletas</t>
        </is>
      </c>
      <c r="C8" s="38" t="inlineStr">
        <is>
          <t>Champurrada Grande</t>
        </is>
      </c>
      <c r="D8" s="41" t="n">
        <v>1.25</v>
      </c>
      <c r="E8" s="49">
        <f>SUMIF(Carga_Detallada_Dia_a_Dia!$D$3:$D$542, A8, Carga_Detallada_Dia_a_Dia!$I$3:$I$542)</f>
        <v/>
      </c>
      <c r="F8" s="16">
        <f>SUMIF(Carga_Detallada_Dia_a_Dia!$D$3:$D$542, A8, Carga_Detallada_Dia_a_Dia!$J$3:$J$542)</f>
        <v/>
      </c>
      <c r="G8" s="14">
        <f>SUMIF(Carga_Detallada_Dia_a_Dia!$D$3:$D$542, A8, Carga_Detallada_Dia_a_Dia!$L$3:$L$542)</f>
        <v/>
      </c>
      <c r="H8" s="50">
        <f>IF(E8&gt;0, G8/E8, 0)</f>
        <v/>
      </c>
      <c r="I8" s="17">
        <f>G8*D8</f>
        <v/>
      </c>
    </row>
    <row r="9" ht="22" customHeight="1">
      <c r="A9" s="31" t="n">
        <v>60</v>
      </c>
      <c r="B9" s="31" t="inlineStr">
        <is>
          <t>Reposteria</t>
        </is>
      </c>
      <c r="C9" s="32" t="inlineStr">
        <is>
          <t>Cubilete de Vainilla</t>
        </is>
      </c>
      <c r="D9" s="35" t="n">
        <v>2</v>
      </c>
      <c r="E9" s="47">
        <f>SUMIF(Carga_Detallada_Dia_a_Dia!$D$3:$D$542, A9, Carga_Detallada_Dia_a_Dia!$I$3:$I$542)</f>
        <v/>
      </c>
      <c r="F9" s="16">
        <f>SUMIF(Carga_Detallada_Dia_a_Dia!$D$3:$D$542, A9, Carga_Detallada_Dia_a_Dia!$J$3:$J$542)</f>
        <v/>
      </c>
      <c r="G9" s="14">
        <f>SUMIF(Carga_Detallada_Dia_a_Dia!$D$3:$D$542, A9, Carga_Detallada_Dia_a_Dia!$L$3:$L$542)</f>
        <v/>
      </c>
      <c r="H9" s="48">
        <f>IF(E9&gt;0, G9/E9, 0)</f>
        <v/>
      </c>
      <c r="I9" s="17">
        <f>G9*D9</f>
        <v/>
      </c>
    </row>
    <row r="10" ht="22" customHeight="1">
      <c r="A10" s="37" t="n">
        <v>61</v>
      </c>
      <c r="B10" s="37" t="inlineStr">
        <is>
          <t>Reposteria</t>
        </is>
      </c>
      <c r="C10" s="38" t="inlineStr">
        <is>
          <t>Cubilete de Banano</t>
        </is>
      </c>
      <c r="D10" s="41" t="n">
        <v>2</v>
      </c>
      <c r="E10" s="49">
        <f>SUMIF(Carga_Detallada_Dia_a_Dia!$D$3:$D$542, A10, Carga_Detallada_Dia_a_Dia!$I$3:$I$542)</f>
        <v/>
      </c>
      <c r="F10" s="16">
        <f>SUMIF(Carga_Detallada_Dia_a_Dia!$D$3:$D$542, A10, Carga_Detallada_Dia_a_Dia!$J$3:$J$542)</f>
        <v/>
      </c>
      <c r="G10" s="14">
        <f>SUMIF(Carga_Detallada_Dia_a_Dia!$D$3:$D$542, A10, Carga_Detallada_Dia_a_Dia!$L$3:$L$542)</f>
        <v/>
      </c>
      <c r="H10" s="50">
        <f>IF(E10&gt;0, G10/E10, 0)</f>
        <v/>
      </c>
      <c r="I10" s="17">
        <f>G10*D10</f>
        <v/>
      </c>
    </row>
    <row r="11" ht="22" customHeight="1">
      <c r="A11" s="31" t="n">
        <v>62</v>
      </c>
      <c r="B11" s="31" t="inlineStr">
        <is>
          <t>Reposteria</t>
        </is>
      </c>
      <c r="C11" s="32" t="inlineStr">
        <is>
          <t>Empanada de Piña</t>
        </is>
      </c>
      <c r="D11" s="35" t="n">
        <v>2.5</v>
      </c>
      <c r="E11" s="47">
        <f>SUMIF(Carga_Detallada_Dia_a_Dia!$D$3:$D$542, A11, Carga_Detallada_Dia_a_Dia!$I$3:$I$542)</f>
        <v/>
      </c>
      <c r="F11" s="16">
        <f>SUMIF(Carga_Detallada_Dia_a_Dia!$D$3:$D$542, A11, Carga_Detallada_Dia_a_Dia!$J$3:$J$542)</f>
        <v/>
      </c>
      <c r="G11" s="14">
        <f>SUMIF(Carga_Detallada_Dia_a_Dia!$D$3:$D$542, A11, Carga_Detallada_Dia_a_Dia!$L$3:$L$542)</f>
        <v/>
      </c>
      <c r="H11" s="48">
        <f>IF(E11&gt;0, G11/E11, 0)</f>
        <v/>
      </c>
      <c r="I11" s="17">
        <f>G11*D11</f>
        <v/>
      </c>
    </row>
    <row r="12" ht="22" customHeight="1">
      <c r="A12" s="37" t="n">
        <v>63</v>
      </c>
      <c r="B12" s="37" t="inlineStr">
        <is>
          <t>Reposteria</t>
        </is>
      </c>
      <c r="C12" s="38" t="inlineStr">
        <is>
          <t>Empanada de Manjar</t>
        </is>
      </c>
      <c r="D12" s="41" t="n">
        <v>2.5</v>
      </c>
      <c r="E12" s="49">
        <f>SUMIF(Carga_Detallada_Dia_a_Dia!$D$3:$D$542, A12, Carga_Detallada_Dia_a_Dia!$I$3:$I$542)</f>
        <v/>
      </c>
      <c r="F12" s="16">
        <f>SUMIF(Carga_Detallada_Dia_a_Dia!$D$3:$D$542, A12, Carga_Detallada_Dia_a_Dia!$J$3:$J$542)</f>
        <v/>
      </c>
      <c r="G12" s="14">
        <f>SUMIF(Carga_Detallada_Dia_a_Dia!$D$3:$D$542, A12, Carga_Detallada_Dia_a_Dia!$L$3:$L$542)</f>
        <v/>
      </c>
      <c r="H12" s="50">
        <f>IF(E12&gt;0, G12/E12, 0)</f>
        <v/>
      </c>
      <c r="I12" s="17">
        <f>G12*D12</f>
        <v/>
      </c>
    </row>
    <row r="13" ht="22" customHeight="1">
      <c r="A13" s="31" t="n">
        <v>64</v>
      </c>
      <c r="B13" s="31" t="inlineStr">
        <is>
          <t>Galletas</t>
        </is>
      </c>
      <c r="C13" s="32" t="inlineStr">
        <is>
          <t>Polvorosa Tradicional</t>
        </is>
      </c>
      <c r="D13" s="35" t="n">
        <v>1.25</v>
      </c>
      <c r="E13" s="47">
        <f>SUMIF(Carga_Detallada_Dia_a_Dia!$D$3:$D$542, A13, Carga_Detallada_Dia_a_Dia!$I$3:$I$542)</f>
        <v/>
      </c>
      <c r="F13" s="16">
        <f>SUMIF(Carga_Detallada_Dia_a_Dia!$D$3:$D$542, A13, Carga_Detallada_Dia_a_Dia!$J$3:$J$542)</f>
        <v/>
      </c>
      <c r="G13" s="14">
        <f>SUMIF(Carga_Detallada_Dia_a_Dia!$D$3:$D$542, A13, Carga_Detallada_Dia_a_Dia!$L$3:$L$542)</f>
        <v/>
      </c>
      <c r="H13" s="48">
        <f>IF(E13&gt;0, G13/E13, 0)</f>
        <v/>
      </c>
      <c r="I13" s="17">
        <f>G13*D13</f>
        <v/>
      </c>
    </row>
    <row r="14" ht="22" customHeight="1">
      <c r="A14" s="37" t="n">
        <v>65</v>
      </c>
      <c r="B14" s="37" t="inlineStr">
        <is>
          <t>Donas</t>
        </is>
      </c>
      <c r="C14" s="38" t="inlineStr">
        <is>
          <t>Dona Simple Glaseada</t>
        </is>
      </c>
      <c r="D14" s="41" t="n">
        <v>2.5</v>
      </c>
      <c r="E14" s="49">
        <f>SUMIF(Carga_Detallada_Dia_a_Dia!$D$3:$D$542, A14, Carga_Detallada_Dia_a_Dia!$I$3:$I$542)</f>
        <v/>
      </c>
      <c r="F14" s="16">
        <f>SUMIF(Carga_Detallada_Dia_a_Dia!$D$3:$D$542, A14, Carga_Detallada_Dia_a_Dia!$J$3:$J$542)</f>
        <v/>
      </c>
      <c r="G14" s="14">
        <f>SUMIF(Carga_Detallada_Dia_a_Dia!$D$3:$D$542, A14, Carga_Detallada_Dia_a_Dia!$L$3:$L$542)</f>
        <v/>
      </c>
      <c r="H14" s="50">
        <f>IF(E14&gt;0, G14/E14, 0)</f>
        <v/>
      </c>
      <c r="I14" s="17">
        <f>G14*D14</f>
        <v/>
      </c>
    </row>
    <row r="15" ht="22" customHeight="1">
      <c r="A15" s="31" t="n">
        <v>66</v>
      </c>
      <c r="B15" s="31" t="inlineStr">
        <is>
          <t>Donas</t>
        </is>
      </c>
      <c r="C15" s="32" t="inlineStr">
        <is>
          <t>Dona Rellena de Manjar</t>
        </is>
      </c>
      <c r="D15" s="35" t="n">
        <v>4</v>
      </c>
      <c r="E15" s="47">
        <f>SUMIF(Carga_Detallada_Dia_a_Dia!$D$3:$D$542, A15, Carga_Detallada_Dia_a_Dia!$I$3:$I$542)</f>
        <v/>
      </c>
      <c r="F15" s="16">
        <f>SUMIF(Carga_Detallada_Dia_a_Dia!$D$3:$D$542, A15, Carga_Detallada_Dia_a_Dia!$J$3:$J$542)</f>
        <v/>
      </c>
      <c r="G15" s="14">
        <f>SUMIF(Carga_Detallada_Dia_a_Dia!$D$3:$D$542, A15, Carga_Detallada_Dia_a_Dia!$L$3:$L$542)</f>
        <v/>
      </c>
      <c r="H15" s="48">
        <f>IF(E15&gt;0, G15/E15, 0)</f>
        <v/>
      </c>
      <c r="I15" s="17">
        <f>G15*D15</f>
        <v/>
      </c>
    </row>
    <row r="16" ht="22" customHeight="1">
      <c r="A16" s="37" t="n">
        <v>67</v>
      </c>
      <c r="B16" s="37" t="inlineStr">
        <is>
          <t>Donas</t>
        </is>
      </c>
      <c r="C16" s="38" t="inlineStr">
        <is>
          <t>Dona Rellena de Fresa</t>
        </is>
      </c>
      <c r="D16" s="41" t="n">
        <v>4</v>
      </c>
      <c r="E16" s="49">
        <f>SUMIF(Carga_Detallada_Dia_a_Dia!$D$3:$D$542, A16, Carga_Detallada_Dia_a_Dia!$I$3:$I$542)</f>
        <v/>
      </c>
      <c r="F16" s="16">
        <f>SUMIF(Carga_Detallada_Dia_a_Dia!$D$3:$D$542, A16, Carga_Detallada_Dia_a_Dia!$J$3:$J$542)</f>
        <v/>
      </c>
      <c r="G16" s="14">
        <f>SUMIF(Carga_Detallada_Dia_a_Dia!$D$3:$D$542, A16, Carga_Detallada_Dia_a_Dia!$L$3:$L$542)</f>
        <v/>
      </c>
      <c r="H16" s="50">
        <f>IF(E16&gt;0, G16/E16, 0)</f>
        <v/>
      </c>
      <c r="I16" s="17">
        <f>G16*D16</f>
        <v/>
      </c>
    </row>
    <row r="17" ht="22" customHeight="1">
      <c r="A17" s="31" t="n">
        <v>68</v>
      </c>
      <c r="B17" s="31" t="inlineStr">
        <is>
          <t>Pan Dulce</t>
        </is>
      </c>
      <c r="C17" s="32" t="inlineStr">
        <is>
          <t>Campechana</t>
        </is>
      </c>
      <c r="D17" s="35" t="n">
        <v>1.25</v>
      </c>
      <c r="E17" s="47">
        <f>SUMIF(Carga_Detallada_Dia_a_Dia!$D$3:$D$542, A17, Carga_Detallada_Dia_a_Dia!$I$3:$I$542)</f>
        <v/>
      </c>
      <c r="F17" s="16">
        <f>SUMIF(Carga_Detallada_Dia_a_Dia!$D$3:$D$542, A17, Carga_Detallada_Dia_a_Dia!$J$3:$J$542)</f>
        <v/>
      </c>
      <c r="G17" s="14">
        <f>SUMIF(Carga_Detallada_Dia_a_Dia!$D$3:$D$542, A17, Carga_Detallada_Dia_a_Dia!$L$3:$L$542)</f>
        <v/>
      </c>
      <c r="H17" s="48">
        <f>IF(E17&gt;0, G17/E17, 0)</f>
        <v/>
      </c>
      <c r="I17" s="17">
        <f>G17*D17</f>
        <v/>
      </c>
    </row>
    <row r="18" ht="22" customHeight="1">
      <c r="A18" s="37" t="n">
        <v>69</v>
      </c>
      <c r="B18" s="37" t="inlineStr">
        <is>
          <t>Pan Dulce</t>
        </is>
      </c>
      <c r="C18" s="38" t="inlineStr">
        <is>
          <t>Pasitas</t>
        </is>
      </c>
      <c r="D18" s="41" t="n">
        <v>0.75</v>
      </c>
      <c r="E18" s="49">
        <f>SUMIF(Carga_Detallada_Dia_a_Dia!$D$3:$D$542, A18, Carga_Detallada_Dia_a_Dia!$I$3:$I$542)</f>
        <v/>
      </c>
      <c r="F18" s="16">
        <f>SUMIF(Carga_Detallada_Dia_a_Dia!$D$3:$D$542, A18, Carga_Detallada_Dia_a_Dia!$J$3:$J$542)</f>
        <v/>
      </c>
      <c r="G18" s="14">
        <f>SUMIF(Carga_Detallada_Dia_a_Dia!$D$3:$D$542, A18, Carga_Detallada_Dia_a_Dia!$L$3:$L$542)</f>
        <v/>
      </c>
      <c r="H18" s="50">
        <f>IF(E18&gt;0, G18/E18, 0)</f>
        <v/>
      </c>
      <c r="I18" s="17">
        <f>G18*D18</f>
        <v/>
      </c>
    </row>
    <row r="19" ht="22" customHeight="1">
      <c r="A19" s="31" t="n">
        <v>70</v>
      </c>
      <c r="B19" s="31" t="inlineStr">
        <is>
          <t>Reposteria</t>
        </is>
      </c>
      <c r="C19" s="32" t="inlineStr">
        <is>
          <t>Cortada de Fresa</t>
        </is>
      </c>
      <c r="D19" s="35" t="n">
        <v>2.5</v>
      </c>
      <c r="E19" s="47">
        <f>SUMIF(Carga_Detallada_Dia_a_Dia!$D$3:$D$542, A19, Carga_Detallada_Dia_a_Dia!$I$3:$I$542)</f>
        <v/>
      </c>
      <c r="F19" s="16">
        <f>SUMIF(Carga_Detallada_Dia_a_Dia!$D$3:$D$542, A19, Carga_Detallada_Dia_a_Dia!$J$3:$J$542)</f>
        <v/>
      </c>
      <c r="G19" s="14">
        <f>SUMIF(Carga_Detallada_Dia_a_Dia!$D$3:$D$542, A19, Carga_Detallada_Dia_a_Dia!$L$3:$L$542)</f>
        <v/>
      </c>
      <c r="H19" s="48">
        <f>IF(E19&gt;0, G19/E19, 0)</f>
        <v/>
      </c>
      <c r="I19" s="17">
        <f>G19*D19</f>
        <v/>
      </c>
    </row>
    <row r="20" ht="22" customHeight="1">
      <c r="A20" s="37" t="n">
        <v>71</v>
      </c>
      <c r="B20" s="37" t="inlineStr">
        <is>
          <t>Reposteria</t>
        </is>
      </c>
      <c r="C20" s="38" t="inlineStr">
        <is>
          <t>Cortada de Chocolate</t>
        </is>
      </c>
      <c r="D20" s="41" t="n">
        <v>2.5</v>
      </c>
      <c r="E20" s="49">
        <f>SUMIF(Carga_Detallada_Dia_a_Dia!$D$3:$D$542, A20, Carga_Detallada_Dia_a_Dia!$I$3:$I$542)</f>
        <v/>
      </c>
      <c r="F20" s="16">
        <f>SUMIF(Carga_Detallada_Dia_a_Dia!$D$3:$D$542, A20, Carga_Detallada_Dia_a_Dia!$J$3:$J$542)</f>
        <v/>
      </c>
      <c r="G20" s="14">
        <f>SUMIF(Carga_Detallada_Dia_a_Dia!$D$3:$D$542, A20, Carga_Detallada_Dia_a_Dia!$L$3:$L$542)</f>
        <v/>
      </c>
      <c r="H20" s="50">
        <f>IF(E20&gt;0, G20/E20, 0)</f>
        <v/>
      </c>
      <c r="I20" s="17">
        <f>G20*D20</f>
        <v/>
      </c>
    </row>
    <row r="21" ht="26" customHeight="1">
      <c r="A21" s="26" t="inlineStr">
        <is>
          <t>TOTAL GENERAL MES:</t>
        </is>
      </c>
      <c r="B21" s="27" t="n"/>
      <c r="C21" s="27" t="n"/>
      <c r="D21" s="28" t="n"/>
      <c r="E21" s="29">
        <f>SUM(E3:E20)</f>
        <v/>
      </c>
      <c r="F21" s="29">
        <f>SUM(F3:F20)</f>
        <v/>
      </c>
      <c r="G21" s="29">
        <f>SUM(G3:G20)</f>
        <v/>
      </c>
      <c r="H21" s="51">
        <f>IF(E21&gt;0, G21/E21, 0)</f>
        <v/>
      </c>
      <c r="I21" s="30">
        <f>SUM(I3:I20)</f>
        <v/>
      </c>
    </row>
  </sheetData>
  <mergeCells count="2">
    <mergeCell ref="A1:I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2026-09-29T22:03:52Z</dcterms:created>
  <dcterms:modified xmlns:dcterms="http://purl.org/dc/terms/" xmlns:xsi="http://www.w3.org/2001/XMLSchema-instance" xsi:type="dcterms:W3CDTF">2026-09-29T22:03:52Z</dcterms:modified>
</cp:coreProperties>
</file>